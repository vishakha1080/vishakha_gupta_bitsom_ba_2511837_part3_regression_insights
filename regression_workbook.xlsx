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u475498\Downloads\"/>
    </mc:Choice>
  </mc:AlternateContent>
  <xr:revisionPtr revIDLastSave="0" documentId="8_{75E04DD0-1DC3-433F-A777-39231EF35904}" xr6:coauthVersionLast="47" xr6:coauthVersionMax="47" xr10:uidLastSave="{00000000-0000-0000-0000-000000000000}"/>
  <bookViews>
    <workbookView xWindow="-110" yWindow="-110" windowWidth="19420" windowHeight="10300" firstSheet="3" activeTab="1" xr2:uid="{90489C69-038C-4606-91C6-192F4AA3F848}"/>
  </bookViews>
  <sheets>
    <sheet name="Sheet1" sheetId="1" r:id="rId1"/>
    <sheet name="Multiple regression model" sheetId="5" r:id="rId2"/>
    <sheet name="Residual preview" sheetId="6" r:id="rId3"/>
    <sheet name="Dummy Variable" sheetId="2" r:id="rId4"/>
    <sheet name="Simple_regression" sheetId="3" r:id="rId5"/>
    <sheet name="Model comparison preview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11" i="2" l="1"/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2" i="2"/>
  <c r="Q313" i="2"/>
  <c r="Q314" i="2"/>
  <c r="Q315" i="2"/>
  <c r="Q316" i="2"/>
  <c r="Q317" i="2"/>
  <c r="Q318" i="2"/>
  <c r="Q319" i="2"/>
  <c r="Q320" i="2"/>
  <c r="Q3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2" i="2"/>
</calcChain>
</file>

<file path=xl/sharedStrings.xml><?xml version="1.0" encoding="utf-8"?>
<sst xmlns="http://schemas.openxmlformats.org/spreadsheetml/2006/main" count="2058" uniqueCount="149">
  <si>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</si>
  <si>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</si>
  <si>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</si>
  <si>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</si>
  <si>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</si>
  <si>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</si>
  <si>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</si>
  <si>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</si>
  <si>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</si>
  <si>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</si>
  <si>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</si>
  <si>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</si>
  <si>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</si>
  <si>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</si>
  <si>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</si>
  <si>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</si>
  <si>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</si>
  <si>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</si>
  <si>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</si>
  <si>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</si>
  <si>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</si>
  <si>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</si>
  <si>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</si>
  <si>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</si>
  <si>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</si>
  <si>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</si>
  <si>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</si>
  <si>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</si>
  <si>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</si>
  <si>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</si>
  <si>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</si>
  <si>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</si>
  <si>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</si>
  <si>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</si>
  <si>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</si>
  <si>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</si>
  <si>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</si>
  <si>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</si>
  <si>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</si>
  <si>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</si>
  <si>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</si>
  <si>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</si>
  <si>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</si>
  <si>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</si>
  <si>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</si>
  <si>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</si>
  <si>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</si>
  <si>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</si>
  <si>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</si>
  <si>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</si>
  <si>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</si>
  <si>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</si>
  <si>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</si>
  <si>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</si>
  <si>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</si>
  <si>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</si>
  <si>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</si>
  <si>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</si>
  <si>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</si>
  <si>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</si>
  <si>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</si>
  <si>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</si>
  <si>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</si>
  <si>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</si>
  <si>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</si>
  <si>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</si>
  <si>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</si>
  <si>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</si>
  <si>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</si>
  <si>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</si>
  <si>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</si>
  <si>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</si>
  <si>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</si>
  <si>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</si>
  <si>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</si>
  <si>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</si>
  <si>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</si>
  <si>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</si>
  <si>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</si>
  <si>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</si>
  <si>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</si>
  <si>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</si>
  <si>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</si>
  <si>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</si>
  <si>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</si>
  <si>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</si>
  <si>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</si>
  <si>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</si>
  <si>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</si>
  <si>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</si>
  <si>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</si>
  <si>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</si>
  <si>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</si>
  <si>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</si>
  <si>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</si>
  <si>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</si>
  <si>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</si>
  <si>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</si>
  <si>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</si>
  <si>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</si>
  <si>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</si>
  <si>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</si>
  <si>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</si>
  <si>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</si>
  <si>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</si>
  <si>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</si>
  <si>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</si>
  <si>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</si>
  <si>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</si>
  <si>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</si>
  <si>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</si>
  <si>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</si>
  <si>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</si>
  <si>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</si>
  <si>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</si>
  <si>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</si>
  <si>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</si>
  <si>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</si>
  <si>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</si>
  <si>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</si>
  <si>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</si>
  <si>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</si>
  <si>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</si>
  <si>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</si>
  <si>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</si>
  <si>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</si>
  <si>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</si>
  <si>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</si>
  <si>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</si>
  <si>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</si>
  <si>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</si>
  <si>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X Variable 6</t>
  </si>
  <si>
    <t>X Variable 7</t>
  </si>
  <si>
    <t>RESIDUAL OUTPUT</t>
  </si>
  <si>
    <t>Observation</t>
  </si>
  <si>
    <t>Predicted Y</t>
  </si>
  <si>
    <t>Residuals</t>
  </si>
  <si>
    <t>Model Name</t>
  </si>
  <si>
    <t>Independent Variables</t>
  </si>
  <si>
    <t>R²</t>
  </si>
  <si>
    <t>Significant Variables</t>
  </si>
  <si>
    <t>Business Usefulness</t>
  </si>
  <si>
    <t>Simple Regression</t>
  </si>
  <si>
    <t>Marketing Spend</t>
  </si>
  <si>
    <t>Limited explanatory power</t>
  </si>
  <si>
    <t>Multiple Regression</t>
  </si>
  <si>
    <t>Marketing Spend, Footfall, Avg Discount %, Inventory Availability %, North, South, West</t>
  </si>
  <si>
    <t>Marketing Spend, Footfall, Inventory Availability, South, West</t>
  </si>
  <si>
    <t>Strong decision-making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</si>
</sst>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50F4-B183-47C4-AFA9-1FD23CF9ABE4}">
  <dimension ref="A1:N321"/>
  <sheetViews>
    <sheetView topLeftCell="A303" workbookViewId="0">
      <selection activeCell="M1" sqref="M1:M321"/>
    </sheetView>
  </sheetViews>
  <sheetFormatPr defaultRowHeight="14.5"/>
  <cols>
    <col min="1" max="1" width="8.453125" bestFit="1" customWidth="1"/>
    <col min="2" max="2" width="7.453125" bestFit="1" customWidth="1"/>
    <col min="6" max="6" width="12.6328125" customWidth="1"/>
    <col min="7" max="7" width="17.1796875" customWidth="1"/>
    <col min="8" max="8" width="12.7265625" customWidth="1"/>
    <col min="9" max="9" width="19.1796875" customWidth="1"/>
    <col min="10" max="10" width="16.90625" customWidth="1"/>
    <col min="11" max="11" width="11.36328125" customWidth="1"/>
    <col min="13" max="13" width="10" customWidth="1"/>
    <col min="14" max="14" width="11.81640625" customWidth="1"/>
  </cols>
  <sheetData>
    <row r="1" spans="1:14" ht="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51ED-0197-4F5C-9FDA-7AE0C056793C}">
  <dimension ref="A1:I24"/>
  <sheetViews>
    <sheetView tabSelected="1" zoomScale="71" workbookViewId="0">
      <selection activeCell="F7" sqref="F7"/>
    </sheetView>
  </sheetViews>
  <sheetFormatPr defaultRowHeight="14.5"/>
  <cols>
    <col min="1" max="1" width="16.453125" bestFit="1" customWidth="1"/>
    <col min="2" max="2" width="12.54296875" bestFit="1" customWidth="1"/>
    <col min="3" max="4" width="12.08984375" bestFit="1" customWidth="1"/>
    <col min="5" max="5" width="11.90625" bestFit="1" customWidth="1"/>
    <col min="6" max="6" width="12.81640625" bestFit="1" customWidth="1"/>
    <col min="7" max="7" width="11.90625" bestFit="1" customWidth="1"/>
    <col min="8" max="9" width="8.81640625" bestFit="1" customWidth="1"/>
  </cols>
  <sheetData>
    <row r="1" spans="1:9">
      <c r="A1" t="s">
        <v>102</v>
      </c>
    </row>
    <row r="2" spans="1:9" ht="15" thickBot="1"/>
    <row r="3" spans="1:9">
      <c r="A3" s="8" t="s">
        <v>103</v>
      </c>
      <c r="B3" s="8"/>
    </row>
    <row r="4" spans="1:9">
      <c r="A4" s="5" t="s">
        <v>104</v>
      </c>
      <c r="B4" s="5">
        <v>0.90148713457092911</v>
      </c>
    </row>
    <row r="5" spans="1:9">
      <c r="A5" s="5" t="s">
        <v>105</v>
      </c>
      <c r="B5" s="5">
        <v>0.81267905379690442</v>
      </c>
    </row>
    <row r="6" spans="1:9">
      <c r="A6" s="5" t="s">
        <v>106</v>
      </c>
      <c r="B6" s="5">
        <v>0.80847634026029647</v>
      </c>
    </row>
    <row r="7" spans="1:9">
      <c r="A7" s="5" t="s">
        <v>107</v>
      </c>
      <c r="B7" s="5">
        <v>45414.01553063473</v>
      </c>
    </row>
    <row r="8" spans="1:9" ht="15" thickBot="1">
      <c r="A8" s="6" t="s">
        <v>108</v>
      </c>
      <c r="B8" s="6">
        <v>320</v>
      </c>
    </row>
    <row r="10" spans="1:9" ht="15" thickBot="1">
      <c r="A10" t="s">
        <v>109</v>
      </c>
    </row>
    <row r="11" spans="1:9">
      <c r="A11" s="7"/>
      <c r="B11" s="7" t="s">
        <v>114</v>
      </c>
      <c r="C11" s="7" t="s">
        <v>115</v>
      </c>
      <c r="D11" s="7" t="s">
        <v>116</v>
      </c>
      <c r="E11" s="7" t="s">
        <v>117</v>
      </c>
      <c r="F11" s="7" t="s">
        <v>118</v>
      </c>
    </row>
    <row r="12" spans="1:9">
      <c r="A12" s="5" t="s">
        <v>110</v>
      </c>
      <c r="B12" s="5">
        <v>7</v>
      </c>
      <c r="C12" s="5">
        <v>2791689581126.3188</v>
      </c>
      <c r="D12" s="5">
        <v>398812797303.75983</v>
      </c>
      <c r="E12" s="5">
        <v>193.37008023935704</v>
      </c>
      <c r="F12" s="5">
        <v>1.8758555354590949E-109</v>
      </c>
    </row>
    <row r="13" spans="1:9">
      <c r="A13" s="5" t="s">
        <v>111</v>
      </c>
      <c r="B13" s="5">
        <v>312</v>
      </c>
      <c r="C13" s="5">
        <v>643479035664.42041</v>
      </c>
      <c r="D13" s="5">
        <v>2062432806.6167321</v>
      </c>
      <c r="E13" s="5"/>
      <c r="F13" s="5"/>
    </row>
    <row r="14" spans="1:9" ht="15" thickBot="1">
      <c r="A14" s="6" t="s">
        <v>112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119</v>
      </c>
      <c r="C16" s="7" t="s">
        <v>107</v>
      </c>
      <c r="D16" s="7" t="s">
        <v>120</v>
      </c>
      <c r="E16" s="7" t="s">
        <v>121</v>
      </c>
      <c r="F16" s="7" t="s">
        <v>122</v>
      </c>
      <c r="G16" s="7" t="s">
        <v>123</v>
      </c>
      <c r="H16" s="7" t="s">
        <v>124</v>
      </c>
      <c r="I16" s="7" t="s">
        <v>125</v>
      </c>
    </row>
    <row r="17" spans="1:9">
      <c r="A17" s="5" t="s">
        <v>113</v>
      </c>
      <c r="B17" s="5">
        <v>144334.52061908264</v>
      </c>
      <c r="C17" s="5">
        <v>44288.08939427296</v>
      </c>
      <c r="D17" s="5">
        <v>3.2589918100586885</v>
      </c>
      <c r="E17" s="5">
        <v>1.2414786716530984E-3</v>
      </c>
      <c r="F17" s="5">
        <v>57193.431050914878</v>
      </c>
      <c r="G17" s="5">
        <v>231475.61018725042</v>
      </c>
      <c r="H17" s="5">
        <v>57193.431050914878</v>
      </c>
      <c r="I17" s="5">
        <v>231475.61018725042</v>
      </c>
    </row>
    <row r="18" spans="1:9">
      <c r="A18" s="5" t="s">
        <v>126</v>
      </c>
      <c r="B18" s="5">
        <v>1.1750647608979405</v>
      </c>
      <c r="C18" s="5">
        <v>0.1316738891430986</v>
      </c>
      <c r="D18" s="5">
        <v>8.924052965587741</v>
      </c>
      <c r="E18" s="5">
        <v>3.9182717554196698E-17</v>
      </c>
      <c r="F18" s="5">
        <v>0.91598367782255463</v>
      </c>
      <c r="G18" s="5">
        <v>1.4341458439733263</v>
      </c>
      <c r="H18" s="5">
        <v>0.91598367782255463</v>
      </c>
      <c r="I18" s="5">
        <v>1.4341458439733263</v>
      </c>
    </row>
    <row r="19" spans="1:9">
      <c r="A19" s="5" t="s">
        <v>127</v>
      </c>
      <c r="B19" s="5">
        <v>33.847807580288318</v>
      </c>
      <c r="C19" s="5">
        <v>1.0537085829118704</v>
      </c>
      <c r="D19" s="5">
        <v>32.122550892345977</v>
      </c>
      <c r="E19" s="5">
        <v>5.9763991359176092E-101</v>
      </c>
      <c r="F19" s="5">
        <v>31.774534263283496</v>
      </c>
      <c r="G19" s="5">
        <v>35.921080897293145</v>
      </c>
      <c r="H19" s="5">
        <v>31.774534263283496</v>
      </c>
      <c r="I19" s="5">
        <v>35.921080897293145</v>
      </c>
    </row>
    <row r="20" spans="1:9">
      <c r="A20" s="5" t="s">
        <v>128</v>
      </c>
      <c r="B20" s="5">
        <v>-55735.824728780775</v>
      </c>
      <c r="C20" s="5">
        <v>38124.775357084625</v>
      </c>
      <c r="D20" s="5">
        <v>-1.4619318856766335</v>
      </c>
      <c r="E20" s="5">
        <v>0.14476634613228773</v>
      </c>
      <c r="F20" s="5">
        <v>-130749.99918507593</v>
      </c>
      <c r="G20" s="5">
        <v>19278.349727514375</v>
      </c>
      <c r="H20" s="5">
        <v>-130749.99918507593</v>
      </c>
      <c r="I20" s="5">
        <v>19278.349727514375</v>
      </c>
    </row>
    <row r="21" spans="1:9">
      <c r="A21" s="5" t="s">
        <v>129</v>
      </c>
      <c r="B21" s="5">
        <v>2764.3727533357996</v>
      </c>
      <c r="C21" s="5">
        <v>478.34186883990287</v>
      </c>
      <c r="D21" s="5">
        <v>5.7790733644957442</v>
      </c>
      <c r="E21" s="5">
        <v>1.8197846148622207E-8</v>
      </c>
      <c r="F21" s="5">
        <v>1823.1889676524884</v>
      </c>
      <c r="G21" s="5">
        <v>3705.5565390191109</v>
      </c>
      <c r="H21" s="5">
        <v>1823.1889676524884</v>
      </c>
      <c r="I21" s="5">
        <v>3705.5565390191109</v>
      </c>
    </row>
    <row r="22" spans="1:9">
      <c r="A22" s="5" t="s">
        <v>130</v>
      </c>
      <c r="B22" s="5">
        <v>10603.679041681286</v>
      </c>
      <c r="C22" s="5">
        <v>7266.3745526172088</v>
      </c>
      <c r="D22" s="5">
        <v>1.4592805483529669</v>
      </c>
      <c r="E22" s="5">
        <v>0.14549395596813453</v>
      </c>
      <c r="F22" s="5">
        <v>-3693.6140767559336</v>
      </c>
      <c r="G22" s="5">
        <v>24900.972160118505</v>
      </c>
      <c r="H22" s="5">
        <v>-3693.6140767559336</v>
      </c>
      <c r="I22" s="5">
        <v>24900.972160118505</v>
      </c>
    </row>
    <row r="23" spans="1:9">
      <c r="A23" s="5" t="s">
        <v>131</v>
      </c>
      <c r="B23" s="5">
        <v>20145.988482984816</v>
      </c>
      <c r="C23" s="5">
        <v>7475.5255279110897</v>
      </c>
      <c r="D23" s="5">
        <v>2.6949260500504604</v>
      </c>
      <c r="E23" s="5">
        <v>7.4219065133318482E-3</v>
      </c>
      <c r="F23" s="5">
        <v>5437.170638134121</v>
      </c>
      <c r="G23" s="5">
        <v>34854.806327835511</v>
      </c>
      <c r="H23" s="5">
        <v>5437.170638134121</v>
      </c>
      <c r="I23" s="5">
        <v>34854.806327835511</v>
      </c>
    </row>
    <row r="24" spans="1:9" ht="15" thickBot="1">
      <c r="A24" s="6" t="s">
        <v>132</v>
      </c>
      <c r="B24" s="6">
        <v>17060.356577104783</v>
      </c>
      <c r="C24" s="6">
        <v>6550.930866814715</v>
      </c>
      <c r="D24" s="6">
        <v>2.6042644814843099</v>
      </c>
      <c r="E24" s="6">
        <v>9.647754593850786E-3</v>
      </c>
      <c r="F24" s="6">
        <v>4170.7679489307448</v>
      </c>
      <c r="G24" s="6">
        <v>29949.945205278822</v>
      </c>
      <c r="H24" s="6">
        <v>4170.7679489307448</v>
      </c>
      <c r="I24" s="6">
        <v>29949.945205278822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DD44-90D3-4389-A936-B137346FE8E3}">
  <dimension ref="A1:I350"/>
  <sheetViews>
    <sheetView topLeftCell="A27" zoomScale="65" workbookViewId="0">
      <selection activeCell="G162" sqref="G162"/>
    </sheetView>
  </sheetViews>
  <sheetFormatPr defaultRowHeight="14.5"/>
  <cols>
    <col min="1" max="1" width="10.1796875" customWidth="1"/>
    <col min="2" max="2" width="16.81640625" customWidth="1"/>
  </cols>
  <sheetData>
    <row r="1" spans="1:9">
      <c r="A1" t="s">
        <v>102</v>
      </c>
    </row>
    <row r="2" spans="1:9" ht="15" thickBot="1"/>
    <row r="3" spans="1:9">
      <c r="A3" s="8" t="s">
        <v>103</v>
      </c>
      <c r="B3" s="8"/>
    </row>
    <row r="4" spans="1:9">
      <c r="A4" s="5" t="s">
        <v>104</v>
      </c>
      <c r="B4" s="5">
        <v>0.90148713457092911</v>
      </c>
    </row>
    <row r="5" spans="1:9">
      <c r="A5" s="5" t="s">
        <v>105</v>
      </c>
      <c r="B5" s="5">
        <v>0.81267905379690442</v>
      </c>
    </row>
    <row r="6" spans="1:9">
      <c r="A6" s="5" t="s">
        <v>106</v>
      </c>
      <c r="B6" s="5">
        <v>0.80847634026029647</v>
      </c>
    </row>
    <row r="7" spans="1:9">
      <c r="A7" s="5" t="s">
        <v>107</v>
      </c>
      <c r="B7" s="5">
        <v>45414.01553063473</v>
      </c>
    </row>
    <row r="8" spans="1:9" ht="15" thickBot="1">
      <c r="A8" s="6" t="s">
        <v>108</v>
      </c>
      <c r="B8" s="6">
        <v>320</v>
      </c>
    </row>
    <row r="10" spans="1:9" ht="15" thickBot="1">
      <c r="A10" t="s">
        <v>109</v>
      </c>
    </row>
    <row r="11" spans="1:9">
      <c r="A11" s="7"/>
      <c r="B11" s="7" t="s">
        <v>114</v>
      </c>
      <c r="C11" s="7" t="s">
        <v>115</v>
      </c>
      <c r="D11" s="7" t="s">
        <v>116</v>
      </c>
      <c r="E11" s="7" t="s">
        <v>117</v>
      </c>
      <c r="F11" s="7" t="s">
        <v>118</v>
      </c>
    </row>
    <row r="12" spans="1:9">
      <c r="A12" s="5" t="s">
        <v>110</v>
      </c>
      <c r="B12" s="5">
        <v>7</v>
      </c>
      <c r="C12" s="5">
        <v>2791689581126.3188</v>
      </c>
      <c r="D12" s="5">
        <v>398812797303.75983</v>
      </c>
      <c r="E12" s="5">
        <v>193.37008023935704</v>
      </c>
      <c r="F12" s="5">
        <v>1.8758555354590949E-109</v>
      </c>
    </row>
    <row r="13" spans="1:9">
      <c r="A13" s="5" t="s">
        <v>111</v>
      </c>
      <c r="B13" s="5">
        <v>312</v>
      </c>
      <c r="C13" s="5">
        <v>643479035664.42041</v>
      </c>
      <c r="D13" s="5">
        <v>2062432806.6167321</v>
      </c>
      <c r="E13" s="5"/>
      <c r="F13" s="5"/>
    </row>
    <row r="14" spans="1:9" ht="15" thickBot="1">
      <c r="A14" s="6" t="s">
        <v>112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119</v>
      </c>
      <c r="C16" s="7" t="s">
        <v>107</v>
      </c>
      <c r="D16" s="7" t="s">
        <v>120</v>
      </c>
      <c r="E16" s="7" t="s">
        <v>121</v>
      </c>
      <c r="F16" s="7" t="s">
        <v>122</v>
      </c>
      <c r="G16" s="7" t="s">
        <v>123</v>
      </c>
      <c r="H16" s="7" t="s">
        <v>124</v>
      </c>
      <c r="I16" s="7" t="s">
        <v>125</v>
      </c>
    </row>
    <row r="17" spans="1:9">
      <c r="A17" s="5" t="s">
        <v>113</v>
      </c>
      <c r="B17" s="5">
        <v>144334.52061908264</v>
      </c>
      <c r="C17" s="5">
        <v>44288.08939427296</v>
      </c>
      <c r="D17" s="5">
        <v>3.2589918100586885</v>
      </c>
      <c r="E17" s="5">
        <v>1.2414786716530984E-3</v>
      </c>
      <c r="F17" s="5">
        <v>57193.431050914878</v>
      </c>
      <c r="G17" s="5">
        <v>231475.61018725042</v>
      </c>
      <c r="H17" s="5">
        <v>57193.431050914878</v>
      </c>
      <c r="I17" s="5">
        <v>231475.61018725042</v>
      </c>
    </row>
    <row r="18" spans="1:9">
      <c r="A18" s="5" t="s">
        <v>126</v>
      </c>
      <c r="B18" s="5">
        <v>1.1750647608979405</v>
      </c>
      <c r="C18" s="5">
        <v>0.1316738891430986</v>
      </c>
      <c r="D18" s="5">
        <v>8.924052965587741</v>
      </c>
      <c r="E18" s="5">
        <v>3.9182717554196698E-17</v>
      </c>
      <c r="F18" s="5">
        <v>0.91598367782255463</v>
      </c>
      <c r="G18" s="5">
        <v>1.4341458439733263</v>
      </c>
      <c r="H18" s="5">
        <v>0.91598367782255463</v>
      </c>
      <c r="I18" s="5">
        <v>1.4341458439733263</v>
      </c>
    </row>
    <row r="19" spans="1:9">
      <c r="A19" s="5" t="s">
        <v>127</v>
      </c>
      <c r="B19" s="5">
        <v>33.847807580288318</v>
      </c>
      <c r="C19" s="5">
        <v>1.0537085829118704</v>
      </c>
      <c r="D19" s="5">
        <v>32.122550892345977</v>
      </c>
      <c r="E19" s="5">
        <v>5.9763991359176092E-101</v>
      </c>
      <c r="F19" s="5">
        <v>31.774534263283496</v>
      </c>
      <c r="G19" s="5">
        <v>35.921080897293145</v>
      </c>
      <c r="H19" s="5">
        <v>31.774534263283496</v>
      </c>
      <c r="I19" s="5">
        <v>35.921080897293145</v>
      </c>
    </row>
    <row r="20" spans="1:9">
      <c r="A20" s="5" t="s">
        <v>128</v>
      </c>
      <c r="B20" s="5">
        <v>-55735.824728780775</v>
      </c>
      <c r="C20" s="5">
        <v>38124.775357084625</v>
      </c>
      <c r="D20" s="5">
        <v>-1.4619318856766335</v>
      </c>
      <c r="E20" s="5">
        <v>0.14476634613228773</v>
      </c>
      <c r="F20" s="5">
        <v>-130749.99918507593</v>
      </c>
      <c r="G20" s="5">
        <v>19278.349727514375</v>
      </c>
      <c r="H20" s="5">
        <v>-130749.99918507593</v>
      </c>
      <c r="I20" s="5">
        <v>19278.349727514375</v>
      </c>
    </row>
    <row r="21" spans="1:9">
      <c r="A21" s="5" t="s">
        <v>129</v>
      </c>
      <c r="B21" s="5">
        <v>2764.3727533357996</v>
      </c>
      <c r="C21" s="5">
        <v>478.34186883990287</v>
      </c>
      <c r="D21" s="5">
        <v>5.7790733644957442</v>
      </c>
      <c r="E21" s="5">
        <v>1.8197846148622207E-8</v>
      </c>
      <c r="F21" s="5">
        <v>1823.1889676524884</v>
      </c>
      <c r="G21" s="5">
        <v>3705.5565390191109</v>
      </c>
      <c r="H21" s="5">
        <v>1823.1889676524884</v>
      </c>
      <c r="I21" s="5">
        <v>3705.5565390191109</v>
      </c>
    </row>
    <row r="22" spans="1:9">
      <c r="A22" s="5" t="s">
        <v>130</v>
      </c>
      <c r="B22" s="5">
        <v>10603.679041681286</v>
      </c>
      <c r="C22" s="5">
        <v>7266.3745526172088</v>
      </c>
      <c r="D22" s="5">
        <v>1.4592805483529669</v>
      </c>
      <c r="E22" s="5">
        <v>0.14549395596813453</v>
      </c>
      <c r="F22" s="5">
        <v>-3693.6140767559336</v>
      </c>
      <c r="G22" s="5">
        <v>24900.972160118505</v>
      </c>
      <c r="H22" s="5">
        <v>-3693.6140767559336</v>
      </c>
      <c r="I22" s="5">
        <v>24900.972160118505</v>
      </c>
    </row>
    <row r="23" spans="1:9">
      <c r="A23" s="5" t="s">
        <v>131</v>
      </c>
      <c r="B23" s="5">
        <v>20145.988482984816</v>
      </c>
      <c r="C23" s="5">
        <v>7475.5255279110897</v>
      </c>
      <c r="D23" s="5">
        <v>2.6949260500504604</v>
      </c>
      <c r="E23" s="5">
        <v>7.4219065133318482E-3</v>
      </c>
      <c r="F23" s="5">
        <v>5437.170638134121</v>
      </c>
      <c r="G23" s="5">
        <v>34854.806327835511</v>
      </c>
      <c r="H23" s="5">
        <v>5437.170638134121</v>
      </c>
      <c r="I23" s="5">
        <v>34854.806327835511</v>
      </c>
    </row>
    <row r="24" spans="1:9" ht="15" thickBot="1">
      <c r="A24" s="6" t="s">
        <v>132</v>
      </c>
      <c r="B24" s="6">
        <v>17060.356577104783</v>
      </c>
      <c r="C24" s="6">
        <v>6550.930866814715</v>
      </c>
      <c r="D24" s="6">
        <v>2.6042644814843099</v>
      </c>
      <c r="E24" s="6">
        <v>9.647754593850786E-3</v>
      </c>
      <c r="F24" s="6">
        <v>4170.7679489307448</v>
      </c>
      <c r="G24" s="6">
        <v>29949.945205278822</v>
      </c>
      <c r="H24" s="6">
        <v>4170.7679489307448</v>
      </c>
      <c r="I24" s="6">
        <v>29949.945205278822</v>
      </c>
    </row>
    <row r="28" spans="1:9">
      <c r="A28" t="s">
        <v>133</v>
      </c>
    </row>
    <row r="29" spans="1:9" ht="15" thickBot="1"/>
    <row r="30" spans="1:9">
      <c r="A30" s="7" t="s">
        <v>134</v>
      </c>
      <c r="B30" s="7" t="s">
        <v>135</v>
      </c>
      <c r="C30" s="7" t="s">
        <v>136</v>
      </c>
    </row>
    <row r="31" spans="1:9">
      <c r="A31" s="5">
        <v>1</v>
      </c>
      <c r="B31" s="5">
        <v>713037.83372418128</v>
      </c>
      <c r="C31" s="5">
        <v>-54205.213724181289</v>
      </c>
    </row>
    <row r="32" spans="1:9">
      <c r="A32" s="5">
        <v>2</v>
      </c>
      <c r="B32" s="5">
        <v>707050.91446360713</v>
      </c>
      <c r="C32" s="5">
        <v>-72614.914463607129</v>
      </c>
    </row>
    <row r="33" spans="1:3">
      <c r="A33" s="5">
        <v>3</v>
      </c>
      <c r="B33" s="5">
        <v>759053.46553920885</v>
      </c>
      <c r="C33" s="5">
        <v>-80331.40553920879</v>
      </c>
    </row>
    <row r="34" spans="1:3">
      <c r="A34" s="5">
        <v>4</v>
      </c>
      <c r="B34" s="5">
        <v>762672.92139858857</v>
      </c>
      <c r="C34" s="5">
        <v>-103752.62139858853</v>
      </c>
    </row>
    <row r="35" spans="1:3">
      <c r="A35" s="5">
        <v>5</v>
      </c>
      <c r="B35" s="5">
        <v>781227.63643219834</v>
      </c>
      <c r="C35" s="5">
        <v>-39886.196432198398</v>
      </c>
    </row>
    <row r="36" spans="1:3">
      <c r="A36" s="5">
        <v>6</v>
      </c>
      <c r="B36" s="5">
        <v>778447.39488867298</v>
      </c>
      <c r="C36" s="5">
        <v>-16612.05488867301</v>
      </c>
    </row>
    <row r="37" spans="1:3">
      <c r="A37" s="5">
        <v>7</v>
      </c>
      <c r="B37" s="5">
        <v>786691.43043324118</v>
      </c>
      <c r="C37" s="5">
        <v>19924.109566758852</v>
      </c>
    </row>
    <row r="38" spans="1:3">
      <c r="A38" s="5">
        <v>8</v>
      </c>
      <c r="B38" s="5">
        <v>771583.19799710857</v>
      </c>
      <c r="C38" s="5">
        <v>78581.062002891442</v>
      </c>
    </row>
    <row r="39" spans="1:3">
      <c r="A39" s="5">
        <v>9</v>
      </c>
      <c r="B39" s="5">
        <v>843908.81556269387</v>
      </c>
      <c r="C39" s="5">
        <v>86672.884437306086</v>
      </c>
    </row>
    <row r="40" spans="1:3">
      <c r="A40" s="5">
        <v>10</v>
      </c>
      <c r="B40" s="5">
        <v>777875.61853867641</v>
      </c>
      <c r="C40" s="5">
        <v>1135.3214613235323</v>
      </c>
    </row>
    <row r="41" spans="1:3">
      <c r="A41" s="5">
        <v>11</v>
      </c>
      <c r="B41" s="5">
        <v>737900.01633047487</v>
      </c>
      <c r="C41" s="5">
        <v>-14839.256330474862</v>
      </c>
    </row>
    <row r="42" spans="1:3">
      <c r="A42" s="5">
        <v>12</v>
      </c>
      <c r="B42" s="5">
        <v>850619.36443555856</v>
      </c>
      <c r="C42" s="5">
        <v>60172.575564441388</v>
      </c>
    </row>
    <row r="43" spans="1:3">
      <c r="A43" s="5">
        <v>13</v>
      </c>
      <c r="B43" s="5">
        <v>880527.01789887727</v>
      </c>
      <c r="C43" s="5">
        <v>41641.582101122709</v>
      </c>
    </row>
    <row r="44" spans="1:3">
      <c r="A44" s="5">
        <v>14</v>
      </c>
      <c r="B44" s="5">
        <v>776669.06615040242</v>
      </c>
      <c r="C44" s="5">
        <v>-50062.786150402389</v>
      </c>
    </row>
    <row r="45" spans="1:3">
      <c r="A45" s="5">
        <v>15</v>
      </c>
      <c r="B45" s="5">
        <v>748576.8555474669</v>
      </c>
      <c r="C45" s="5">
        <v>-2075.76554746693</v>
      </c>
    </row>
    <row r="46" spans="1:3">
      <c r="A46" s="5">
        <v>16</v>
      </c>
      <c r="B46" s="5">
        <v>814258.72234465252</v>
      </c>
      <c r="C46" s="5">
        <v>19758.297655347502</v>
      </c>
    </row>
    <row r="47" spans="1:3">
      <c r="A47" s="5">
        <v>17</v>
      </c>
      <c r="B47" s="5">
        <v>702849.41764517839</v>
      </c>
      <c r="C47" s="5">
        <v>-36696.897645178367</v>
      </c>
    </row>
    <row r="48" spans="1:3">
      <c r="A48" s="5">
        <v>18</v>
      </c>
      <c r="B48" s="5">
        <v>613767.56389461609</v>
      </c>
      <c r="C48" s="5">
        <v>-40612.373894616147</v>
      </c>
    </row>
    <row r="49" spans="1:3">
      <c r="A49" s="5">
        <v>19</v>
      </c>
      <c r="B49" s="5">
        <v>704688.81474471977</v>
      </c>
      <c r="C49" s="5">
        <v>-38115.614744719816</v>
      </c>
    </row>
    <row r="50" spans="1:3">
      <c r="A50" s="5">
        <v>20</v>
      </c>
      <c r="B50" s="5">
        <v>613134.89835917309</v>
      </c>
      <c r="C50" s="5">
        <v>-21514.94835917314</v>
      </c>
    </row>
    <row r="51" spans="1:3">
      <c r="A51" s="5">
        <v>21</v>
      </c>
      <c r="B51" s="5">
        <v>507671.14152281592</v>
      </c>
      <c r="C51" s="5">
        <v>-91949.32152281591</v>
      </c>
    </row>
    <row r="52" spans="1:3">
      <c r="A52" s="5">
        <v>22</v>
      </c>
      <c r="B52" s="5">
        <v>500953.73776927503</v>
      </c>
      <c r="C52" s="5">
        <v>-9048.6077692750259</v>
      </c>
    </row>
    <row r="53" spans="1:3">
      <c r="A53" s="5">
        <v>23</v>
      </c>
      <c r="B53" s="5">
        <v>536229.95520061918</v>
      </c>
      <c r="C53" s="5">
        <v>19699.444799380843</v>
      </c>
    </row>
    <row r="54" spans="1:3">
      <c r="A54" s="5">
        <v>24</v>
      </c>
      <c r="B54" s="5">
        <v>558867.33764804108</v>
      </c>
      <c r="C54" s="5">
        <v>6943.65235195891</v>
      </c>
    </row>
    <row r="55" spans="1:3">
      <c r="A55" s="5">
        <v>25</v>
      </c>
      <c r="B55" s="5">
        <v>830367.62451507733</v>
      </c>
      <c r="C55" s="5">
        <v>-18596.484515077318</v>
      </c>
    </row>
    <row r="56" spans="1:3">
      <c r="A56" s="5">
        <v>26</v>
      </c>
      <c r="B56" s="5">
        <v>896639.57312483201</v>
      </c>
      <c r="C56" s="5">
        <v>-96187.633124832064</v>
      </c>
    </row>
    <row r="57" spans="1:3">
      <c r="A57" s="5">
        <v>27</v>
      </c>
      <c r="B57" s="5">
        <v>786260.146827474</v>
      </c>
      <c r="C57" s="5">
        <v>-2587.3268274740549</v>
      </c>
    </row>
    <row r="58" spans="1:3">
      <c r="A58" s="5">
        <v>28</v>
      </c>
      <c r="B58" s="5">
        <v>693781.66293978412</v>
      </c>
      <c r="C58" s="5">
        <v>7860.307060215855</v>
      </c>
    </row>
    <row r="59" spans="1:3">
      <c r="A59" s="5">
        <v>29</v>
      </c>
      <c r="B59" s="5">
        <v>587990.19015419704</v>
      </c>
      <c r="C59" s="5">
        <v>-76145.780154197069</v>
      </c>
    </row>
    <row r="60" spans="1:3">
      <c r="A60" s="5">
        <v>30</v>
      </c>
      <c r="B60" s="5">
        <v>529311.20764320134</v>
      </c>
      <c r="C60" s="5">
        <v>8072.5823567986954</v>
      </c>
    </row>
    <row r="61" spans="1:3">
      <c r="A61" s="5">
        <v>31</v>
      </c>
      <c r="B61" s="5">
        <v>515394.19048183813</v>
      </c>
      <c r="C61" s="5">
        <v>-15221.170481838111</v>
      </c>
    </row>
    <row r="62" spans="1:3">
      <c r="A62" s="5">
        <v>32</v>
      </c>
      <c r="B62" s="5">
        <v>498392.96636951278</v>
      </c>
      <c r="C62" s="5">
        <v>-70475.586369512777</v>
      </c>
    </row>
    <row r="63" spans="1:3">
      <c r="A63" s="5">
        <v>33</v>
      </c>
      <c r="B63" s="5">
        <v>758039.07869366009</v>
      </c>
      <c r="C63" s="5">
        <v>-116174.04869366006</v>
      </c>
    </row>
    <row r="64" spans="1:3">
      <c r="A64" s="5">
        <v>34</v>
      </c>
      <c r="B64" s="5">
        <v>867715.94557389768</v>
      </c>
      <c r="C64" s="5">
        <v>-68238.185573897674</v>
      </c>
    </row>
    <row r="65" spans="1:3">
      <c r="A65" s="5">
        <v>35</v>
      </c>
      <c r="B65" s="5">
        <v>814632.29501440085</v>
      </c>
      <c r="C65" s="5">
        <v>-15680.125014400808</v>
      </c>
    </row>
    <row r="66" spans="1:3">
      <c r="A66" s="5">
        <v>36</v>
      </c>
      <c r="B66" s="5">
        <v>830327.31481582543</v>
      </c>
      <c r="C66" s="5">
        <v>-29347.534815825406</v>
      </c>
    </row>
    <row r="67" spans="1:3">
      <c r="A67" s="5">
        <v>37</v>
      </c>
      <c r="B67" s="5">
        <v>767123.7747768783</v>
      </c>
      <c r="C67" s="5">
        <v>53470.15522312175</v>
      </c>
    </row>
    <row r="68" spans="1:3">
      <c r="A68" s="5">
        <v>38</v>
      </c>
      <c r="B68" s="5">
        <v>751083.68147054769</v>
      </c>
      <c r="C68" s="5">
        <v>-32753.151470547658</v>
      </c>
    </row>
    <row r="69" spans="1:3">
      <c r="A69" s="5">
        <v>39</v>
      </c>
      <c r="B69" s="5">
        <v>738755.15649239172</v>
      </c>
      <c r="C69" s="5">
        <v>-2121.7564923916943</v>
      </c>
    </row>
    <row r="70" spans="1:3">
      <c r="A70" s="5">
        <v>40</v>
      </c>
      <c r="B70" s="5">
        <v>823203.28686513554</v>
      </c>
      <c r="C70" s="5">
        <v>5420.5631348644383</v>
      </c>
    </row>
    <row r="71" spans="1:3">
      <c r="A71" s="5">
        <v>41</v>
      </c>
      <c r="B71" s="5">
        <v>566781.94760595961</v>
      </c>
      <c r="C71" s="5">
        <v>25413.902394040371</v>
      </c>
    </row>
    <row r="72" spans="1:3">
      <c r="A72" s="5">
        <v>42</v>
      </c>
      <c r="B72" s="5">
        <v>508223.42436986201</v>
      </c>
      <c r="C72" s="5">
        <v>24421.035630137951</v>
      </c>
    </row>
    <row r="73" spans="1:3">
      <c r="A73" s="5">
        <v>43</v>
      </c>
      <c r="B73" s="5">
        <v>574742.16363040498</v>
      </c>
      <c r="C73" s="5">
        <v>82687.016369595076</v>
      </c>
    </row>
    <row r="74" spans="1:3">
      <c r="A74" s="5">
        <v>44</v>
      </c>
      <c r="B74" s="5">
        <v>585501.89922517585</v>
      </c>
      <c r="C74" s="5">
        <v>19676.100774824154</v>
      </c>
    </row>
    <row r="75" spans="1:3">
      <c r="A75" s="5">
        <v>45</v>
      </c>
      <c r="B75" s="5">
        <v>739179.59121477313</v>
      </c>
      <c r="C75" s="5">
        <v>-143711.99121477315</v>
      </c>
    </row>
    <row r="76" spans="1:3">
      <c r="A76" s="5">
        <v>46</v>
      </c>
      <c r="B76" s="5">
        <v>646594.95117145544</v>
      </c>
      <c r="C76" s="5">
        <v>-46991.551171455416</v>
      </c>
    </row>
    <row r="77" spans="1:3">
      <c r="A77" s="5">
        <v>47</v>
      </c>
      <c r="B77" s="5">
        <v>593939.80193718639</v>
      </c>
      <c r="C77" s="5">
        <v>20860.288062813575</v>
      </c>
    </row>
    <row r="78" spans="1:3">
      <c r="A78" s="5">
        <v>48</v>
      </c>
      <c r="B78" s="5">
        <v>583379.5827737475</v>
      </c>
      <c r="C78" s="5">
        <v>1986.1472262524767</v>
      </c>
    </row>
    <row r="79" spans="1:3">
      <c r="A79" s="5">
        <v>49</v>
      </c>
      <c r="B79" s="5">
        <v>645381.95172003529</v>
      </c>
      <c r="C79" s="5">
        <v>-22570.211720035295</v>
      </c>
    </row>
    <row r="80" spans="1:3">
      <c r="A80" s="5">
        <v>50</v>
      </c>
      <c r="B80" s="5">
        <v>585631.02772857144</v>
      </c>
      <c r="C80" s="5">
        <v>17666.542271428509</v>
      </c>
    </row>
    <row r="81" spans="1:3">
      <c r="A81" s="5">
        <v>51</v>
      </c>
      <c r="B81" s="5">
        <v>607805.44238414243</v>
      </c>
      <c r="C81" s="5">
        <v>17867.417615857557</v>
      </c>
    </row>
    <row r="82" spans="1:3">
      <c r="A82" s="5">
        <v>52</v>
      </c>
      <c r="B82" s="5">
        <v>731251.42955208116</v>
      </c>
      <c r="C82" s="5">
        <v>42563.710447918857</v>
      </c>
    </row>
    <row r="83" spans="1:3">
      <c r="A83" s="5">
        <v>53</v>
      </c>
      <c r="B83" s="5">
        <v>562866.04343555111</v>
      </c>
      <c r="C83" s="5">
        <v>-99331.79343555111</v>
      </c>
    </row>
    <row r="84" spans="1:3">
      <c r="A84" s="5">
        <v>54</v>
      </c>
      <c r="B84" s="5">
        <v>708612.42724385811</v>
      </c>
      <c r="C84" s="5">
        <v>38065.32275614189</v>
      </c>
    </row>
    <row r="85" spans="1:3">
      <c r="A85" s="5">
        <v>55</v>
      </c>
      <c r="B85" s="5">
        <v>680866.15947484621</v>
      </c>
      <c r="C85" s="5">
        <v>39986.340525153792</v>
      </c>
    </row>
    <row r="86" spans="1:3">
      <c r="A86" s="5">
        <v>56</v>
      </c>
      <c r="B86" s="5">
        <v>533377.67710304377</v>
      </c>
      <c r="C86" s="5">
        <v>-45912.767103043792</v>
      </c>
    </row>
    <row r="87" spans="1:3">
      <c r="A87" s="5">
        <v>57</v>
      </c>
      <c r="B87" s="5">
        <v>509642.34365991631</v>
      </c>
      <c r="C87" s="5">
        <v>8406.9163400836987</v>
      </c>
    </row>
    <row r="88" spans="1:3">
      <c r="A88" s="5">
        <v>58</v>
      </c>
      <c r="B88" s="5">
        <v>507185.90993778571</v>
      </c>
      <c r="C88" s="5">
        <v>-6887.4299377857242</v>
      </c>
    </row>
    <row r="89" spans="1:3">
      <c r="A89" s="5">
        <v>59</v>
      </c>
      <c r="B89" s="5">
        <v>653338.9762841668</v>
      </c>
      <c r="C89" s="5">
        <v>-36047.826284166775</v>
      </c>
    </row>
    <row r="90" spans="1:3">
      <c r="A90" s="5">
        <v>60</v>
      </c>
      <c r="B90" s="5">
        <v>594504.27469534765</v>
      </c>
      <c r="C90" s="5">
        <v>-40747.844695347594</v>
      </c>
    </row>
    <row r="91" spans="1:3">
      <c r="A91" s="5">
        <v>61</v>
      </c>
      <c r="B91" s="5">
        <v>692917.11781684298</v>
      </c>
      <c r="C91" s="5">
        <v>56642.592183156987</v>
      </c>
    </row>
    <row r="92" spans="1:3">
      <c r="A92" s="5">
        <v>62</v>
      </c>
      <c r="B92" s="5">
        <v>576240.37949911784</v>
      </c>
      <c r="C92" s="5">
        <v>39726.100500882138</v>
      </c>
    </row>
    <row r="93" spans="1:3">
      <c r="A93" s="5">
        <v>63</v>
      </c>
      <c r="B93" s="5">
        <v>592683.55279499886</v>
      </c>
      <c r="C93" s="5">
        <v>-20672.352794998907</v>
      </c>
    </row>
    <row r="94" spans="1:3">
      <c r="A94" s="5">
        <v>64</v>
      </c>
      <c r="B94" s="5">
        <v>725453.97494589514</v>
      </c>
      <c r="C94" s="5">
        <v>36406.215054104803</v>
      </c>
    </row>
    <row r="95" spans="1:3">
      <c r="A95" s="5">
        <v>65</v>
      </c>
      <c r="B95" s="5">
        <v>811178.52746495546</v>
      </c>
      <c r="C95" s="5">
        <v>-26675.847464955412</v>
      </c>
    </row>
    <row r="96" spans="1:3">
      <c r="A96" s="5">
        <v>66</v>
      </c>
      <c r="B96" s="5">
        <v>739470.6817973099</v>
      </c>
      <c r="C96" s="5">
        <v>-22329.131797309848</v>
      </c>
    </row>
    <row r="97" spans="1:3">
      <c r="A97" s="5">
        <v>67</v>
      </c>
      <c r="B97" s="5">
        <v>848506.22306179593</v>
      </c>
      <c r="C97" s="5">
        <v>-163127.14306179597</v>
      </c>
    </row>
    <row r="98" spans="1:3">
      <c r="A98" s="5">
        <v>68</v>
      </c>
      <c r="B98" s="5">
        <v>738930.42894398991</v>
      </c>
      <c r="C98" s="5">
        <v>1566.2210560101084</v>
      </c>
    </row>
    <row r="99" spans="1:3">
      <c r="A99" s="5">
        <v>69</v>
      </c>
      <c r="B99" s="5">
        <v>587267.22631437343</v>
      </c>
      <c r="C99" s="5">
        <v>74659.913685626583</v>
      </c>
    </row>
    <row r="100" spans="1:3">
      <c r="A100" s="5">
        <v>70</v>
      </c>
      <c r="B100" s="5">
        <v>498997.54382336931</v>
      </c>
      <c r="C100" s="5">
        <v>-19947.043823369313</v>
      </c>
    </row>
    <row r="101" spans="1:3">
      <c r="A101" s="5">
        <v>71</v>
      </c>
      <c r="B101" s="5">
        <v>586279.32651707064</v>
      </c>
      <c r="C101" s="5">
        <v>18744.543482929352</v>
      </c>
    </row>
    <row r="102" spans="1:3">
      <c r="A102" s="5">
        <v>72</v>
      </c>
      <c r="B102" s="5">
        <v>635971.9879056596</v>
      </c>
      <c r="C102" s="5">
        <v>38802.102094340371</v>
      </c>
    </row>
    <row r="103" spans="1:3">
      <c r="A103" s="5">
        <v>73</v>
      </c>
      <c r="B103" s="5">
        <v>601329.3029402534</v>
      </c>
      <c r="C103" s="5">
        <v>14740.107059746631</v>
      </c>
    </row>
    <row r="104" spans="1:3">
      <c r="A104" s="5">
        <v>74</v>
      </c>
      <c r="B104" s="5">
        <v>696216.4268926715</v>
      </c>
      <c r="C104" s="5">
        <v>-65386.486892671557</v>
      </c>
    </row>
    <row r="105" spans="1:3">
      <c r="A105" s="5">
        <v>75</v>
      </c>
      <c r="B105" s="5">
        <v>704569.48468330351</v>
      </c>
      <c r="C105" s="5">
        <v>83518.19531669654</v>
      </c>
    </row>
    <row r="106" spans="1:3">
      <c r="A106" s="5">
        <v>76</v>
      </c>
      <c r="B106" s="5">
        <v>716891.43486468191</v>
      </c>
      <c r="C106" s="5">
        <v>-36051.074864681927</v>
      </c>
    </row>
    <row r="107" spans="1:3">
      <c r="A107" s="5">
        <v>77</v>
      </c>
      <c r="B107" s="5">
        <v>666139.95979755709</v>
      </c>
      <c r="C107" s="5">
        <v>-22482.489797557122</v>
      </c>
    </row>
    <row r="108" spans="1:3">
      <c r="A108" s="5">
        <v>78</v>
      </c>
      <c r="B108" s="5">
        <v>663270.59536107746</v>
      </c>
      <c r="C108" s="5">
        <v>27842.004638922517</v>
      </c>
    </row>
    <row r="109" spans="1:3">
      <c r="A109" s="5">
        <v>79</v>
      </c>
      <c r="B109" s="5">
        <v>733228.71384692634</v>
      </c>
      <c r="C109" s="5">
        <v>43693.456153073697</v>
      </c>
    </row>
    <row r="110" spans="1:3">
      <c r="A110" s="5">
        <v>80</v>
      </c>
      <c r="B110" s="5">
        <v>669040.32244482089</v>
      </c>
      <c r="C110" s="5">
        <v>-32478.982444820926</v>
      </c>
    </row>
    <row r="111" spans="1:3">
      <c r="A111" s="5">
        <v>81</v>
      </c>
      <c r="B111" s="5">
        <v>638004.80704284413</v>
      </c>
      <c r="C111" s="5">
        <v>-16635.22704284417</v>
      </c>
    </row>
    <row r="112" spans="1:3">
      <c r="A112" s="5">
        <v>82</v>
      </c>
      <c r="B112" s="5">
        <v>625686.6369340336</v>
      </c>
      <c r="C112" s="5">
        <v>56521.373065966414</v>
      </c>
    </row>
    <row r="113" spans="1:3">
      <c r="A113" s="5">
        <v>83</v>
      </c>
      <c r="B113" s="5">
        <v>640142.95277131151</v>
      </c>
      <c r="C113" s="5">
        <v>87098.907228688477</v>
      </c>
    </row>
    <row r="114" spans="1:3">
      <c r="A114" s="5">
        <v>84</v>
      </c>
      <c r="B114" s="5">
        <v>554150.03326117562</v>
      </c>
      <c r="C114" s="5">
        <v>14950.746738824411</v>
      </c>
    </row>
    <row r="115" spans="1:3">
      <c r="A115" s="5">
        <v>85</v>
      </c>
      <c r="B115" s="5">
        <v>561161.03072476643</v>
      </c>
      <c r="C115" s="5">
        <v>13275.259275233606</v>
      </c>
    </row>
    <row r="116" spans="1:3">
      <c r="A116" s="5">
        <v>86</v>
      </c>
      <c r="B116" s="5">
        <v>643412.93233305553</v>
      </c>
      <c r="C116" s="5">
        <v>-31646.212333055562</v>
      </c>
    </row>
    <row r="117" spans="1:3">
      <c r="A117" s="5">
        <v>87</v>
      </c>
      <c r="B117" s="5">
        <v>622896.50794027897</v>
      </c>
      <c r="C117" s="5">
        <v>-8300.1879402790219</v>
      </c>
    </row>
    <row r="118" spans="1:3">
      <c r="A118" s="5">
        <v>88</v>
      </c>
      <c r="B118" s="5">
        <v>457125.13226863137</v>
      </c>
      <c r="C118" s="5">
        <v>-6413.2122686313814</v>
      </c>
    </row>
    <row r="119" spans="1:3">
      <c r="A119" s="5">
        <v>89</v>
      </c>
      <c r="B119" s="5">
        <v>678911.34378022992</v>
      </c>
      <c r="C119" s="5">
        <v>32302.116219770047</v>
      </c>
    </row>
    <row r="120" spans="1:3">
      <c r="A120" s="5">
        <v>90</v>
      </c>
      <c r="B120" s="5">
        <v>753353.54088064004</v>
      </c>
      <c r="C120" s="5">
        <v>-126181.64088064001</v>
      </c>
    </row>
    <row r="121" spans="1:3">
      <c r="A121" s="5">
        <v>91</v>
      </c>
      <c r="B121" s="5">
        <v>715193.00782810897</v>
      </c>
      <c r="C121" s="5">
        <v>24659.572171890992</v>
      </c>
    </row>
    <row r="122" spans="1:3">
      <c r="A122" s="5">
        <v>92</v>
      </c>
      <c r="B122" s="5">
        <v>558167.82197728928</v>
      </c>
      <c r="C122" s="5">
        <v>28139.398022710695</v>
      </c>
    </row>
    <row r="123" spans="1:3">
      <c r="A123" s="5">
        <v>93</v>
      </c>
      <c r="B123" s="5">
        <v>600824.51616857341</v>
      </c>
      <c r="C123" s="5">
        <v>-14887.036168573424</v>
      </c>
    </row>
    <row r="124" spans="1:3">
      <c r="A124" s="5">
        <v>94</v>
      </c>
      <c r="B124" s="5">
        <v>711154.15510156355</v>
      </c>
      <c r="C124" s="5">
        <v>42319.394898436498</v>
      </c>
    </row>
    <row r="125" spans="1:3">
      <c r="A125" s="5">
        <v>95</v>
      </c>
      <c r="B125" s="5">
        <v>781031.72654399334</v>
      </c>
      <c r="C125" s="5">
        <v>57218.593456006609</v>
      </c>
    </row>
    <row r="126" spans="1:3">
      <c r="A126" s="5">
        <v>96</v>
      </c>
      <c r="B126" s="5">
        <v>633617.90399145824</v>
      </c>
      <c r="C126" s="5">
        <v>-25719.783991458244</v>
      </c>
    </row>
    <row r="127" spans="1:3">
      <c r="A127" s="5">
        <v>97</v>
      </c>
      <c r="B127" s="5">
        <v>692124.88120506355</v>
      </c>
      <c r="C127" s="5">
        <v>-1011.2612050635507</v>
      </c>
    </row>
    <row r="128" spans="1:3">
      <c r="A128" s="5">
        <v>98</v>
      </c>
      <c r="B128" s="5">
        <v>656004.83140195184</v>
      </c>
      <c r="C128" s="5">
        <v>79504.568598048179</v>
      </c>
    </row>
    <row r="129" spans="1:3">
      <c r="A129" s="5">
        <v>99</v>
      </c>
      <c r="B129" s="5">
        <v>610206.84530019434</v>
      </c>
      <c r="C129" s="5">
        <v>-4431.5153001943836</v>
      </c>
    </row>
    <row r="130" spans="1:3">
      <c r="A130" s="5">
        <v>100</v>
      </c>
      <c r="B130" s="5">
        <v>645916.35960422177</v>
      </c>
      <c r="C130" s="5">
        <v>29261.320395778283</v>
      </c>
    </row>
    <row r="131" spans="1:3">
      <c r="A131" s="5">
        <v>101</v>
      </c>
      <c r="B131" s="5">
        <v>574289.56258879229</v>
      </c>
      <c r="C131" s="5">
        <v>60891.787411207682</v>
      </c>
    </row>
    <row r="132" spans="1:3">
      <c r="A132" s="5">
        <v>102</v>
      </c>
      <c r="B132" s="5">
        <v>606756.43715679063</v>
      </c>
      <c r="C132" s="5">
        <v>-20129.49715679069</v>
      </c>
    </row>
    <row r="133" spans="1:3">
      <c r="A133" s="5">
        <v>103</v>
      </c>
      <c r="B133" s="5">
        <v>693658.62502295431</v>
      </c>
      <c r="C133" s="5">
        <v>46444.014977045706</v>
      </c>
    </row>
    <row r="134" spans="1:3">
      <c r="A134" s="5">
        <v>104</v>
      </c>
      <c r="B134" s="5">
        <v>514098.38433840324</v>
      </c>
      <c r="C134" s="5">
        <v>111415.6556615968</v>
      </c>
    </row>
    <row r="135" spans="1:3">
      <c r="A135" s="5">
        <v>105</v>
      </c>
      <c r="B135" s="5">
        <v>700814.35608668637</v>
      </c>
      <c r="C135" s="5">
        <v>26412.843913313583</v>
      </c>
    </row>
    <row r="136" spans="1:3">
      <c r="A136" s="5">
        <v>106</v>
      </c>
      <c r="B136" s="5">
        <v>795592.15276350535</v>
      </c>
      <c r="C136" s="5">
        <v>-11794.262763505336</v>
      </c>
    </row>
    <row r="137" spans="1:3">
      <c r="A137" s="5">
        <v>107</v>
      </c>
      <c r="B137" s="5">
        <v>726323.24319960142</v>
      </c>
      <c r="C137" s="5">
        <v>68830.596800398547</v>
      </c>
    </row>
    <row r="138" spans="1:3">
      <c r="A138" s="5">
        <v>108</v>
      </c>
      <c r="B138" s="5">
        <v>676085.54370807996</v>
      </c>
      <c r="C138" s="5">
        <v>-10490.603708080016</v>
      </c>
    </row>
    <row r="139" spans="1:3">
      <c r="A139" s="5">
        <v>109</v>
      </c>
      <c r="B139" s="5">
        <v>664124.43593563582</v>
      </c>
      <c r="C139" s="5">
        <v>45353.954064364196</v>
      </c>
    </row>
    <row r="140" spans="1:3">
      <c r="A140" s="5">
        <v>110</v>
      </c>
      <c r="B140" s="5">
        <v>634667.15266436874</v>
      </c>
      <c r="C140" s="5">
        <v>29495.337335631251</v>
      </c>
    </row>
    <row r="141" spans="1:3">
      <c r="A141" s="5">
        <v>111</v>
      </c>
      <c r="B141" s="5">
        <v>640344.05933674832</v>
      </c>
      <c r="C141" s="5">
        <v>-6849.8493367483607</v>
      </c>
    </row>
    <row r="142" spans="1:3">
      <c r="A142" s="5">
        <v>112</v>
      </c>
      <c r="B142" s="5">
        <v>594168.28069524758</v>
      </c>
      <c r="C142" s="5">
        <v>119442.87930475245</v>
      </c>
    </row>
    <row r="143" spans="1:3">
      <c r="A143" s="5">
        <v>113</v>
      </c>
      <c r="B143" s="5">
        <v>738609.67564333591</v>
      </c>
      <c r="C143" s="5">
        <v>39788.294356664061</v>
      </c>
    </row>
    <row r="144" spans="1:3">
      <c r="A144" s="5">
        <v>114</v>
      </c>
      <c r="B144" s="5">
        <v>829554.97864539421</v>
      </c>
      <c r="C144" s="5">
        <v>43825.041354605812</v>
      </c>
    </row>
    <row r="145" spans="1:3">
      <c r="A145" s="5">
        <v>115</v>
      </c>
      <c r="B145" s="5">
        <v>748637.72018898802</v>
      </c>
      <c r="C145" s="5">
        <v>-51349.820188988</v>
      </c>
    </row>
    <row r="146" spans="1:3">
      <c r="A146" s="5">
        <v>116</v>
      </c>
      <c r="B146" s="5">
        <v>752951.01722324337</v>
      </c>
      <c r="C146" s="5">
        <v>-34876.227223243332</v>
      </c>
    </row>
    <row r="147" spans="1:3">
      <c r="A147" s="5">
        <v>117</v>
      </c>
      <c r="B147" s="5">
        <v>718419.56272560486</v>
      </c>
      <c r="C147" s="5">
        <v>-3477.1327256048098</v>
      </c>
    </row>
    <row r="148" spans="1:3">
      <c r="A148" s="5">
        <v>118</v>
      </c>
      <c r="B148" s="5">
        <v>738336.65178558743</v>
      </c>
      <c r="C148" s="5">
        <v>82182.388214412611</v>
      </c>
    </row>
    <row r="149" spans="1:3">
      <c r="A149" s="5">
        <v>119</v>
      </c>
      <c r="B149" s="5">
        <v>759526.75726750295</v>
      </c>
      <c r="C149" s="5">
        <v>-75309.437267503003</v>
      </c>
    </row>
    <row r="150" spans="1:3">
      <c r="A150" s="5">
        <v>120</v>
      </c>
      <c r="B150" s="5">
        <v>742161.21374138352</v>
      </c>
      <c r="C150" s="5">
        <v>-6681.0237413835712</v>
      </c>
    </row>
    <row r="151" spans="1:3">
      <c r="A151" s="5">
        <v>121</v>
      </c>
      <c r="B151" s="5">
        <v>561472.78372114839</v>
      </c>
      <c r="C151" s="5">
        <v>-51987.973721148388</v>
      </c>
    </row>
    <row r="152" spans="1:3">
      <c r="A152" s="5">
        <v>122</v>
      </c>
      <c r="B152" s="5">
        <v>624689.20277558733</v>
      </c>
      <c r="C152" s="5">
        <v>29627.88722441264</v>
      </c>
    </row>
    <row r="153" spans="1:3">
      <c r="A153" s="5">
        <v>123</v>
      </c>
      <c r="B153" s="5">
        <v>594576.61256980686</v>
      </c>
      <c r="C153" s="5">
        <v>-37089.352569806855</v>
      </c>
    </row>
    <row r="154" spans="1:3">
      <c r="A154" s="5">
        <v>124</v>
      </c>
      <c r="B154" s="5">
        <v>500169.66161170072</v>
      </c>
      <c r="C154" s="5">
        <v>-58894.241611700738</v>
      </c>
    </row>
    <row r="155" spans="1:3">
      <c r="A155" s="5">
        <v>125</v>
      </c>
      <c r="B155" s="5">
        <v>825362.95704800857</v>
      </c>
      <c r="C155" s="5">
        <v>89181.212951991474</v>
      </c>
    </row>
    <row r="156" spans="1:3">
      <c r="A156" s="5">
        <v>126</v>
      </c>
      <c r="B156" s="5">
        <v>853887.78521788481</v>
      </c>
      <c r="C156" s="5">
        <v>-11448.11521788477</v>
      </c>
    </row>
    <row r="157" spans="1:3">
      <c r="A157" s="5">
        <v>127</v>
      </c>
      <c r="B157" s="5">
        <v>787399.1801252478</v>
      </c>
      <c r="C157" s="5">
        <v>54758.739874752238</v>
      </c>
    </row>
    <row r="158" spans="1:3">
      <c r="A158" s="5">
        <v>128</v>
      </c>
      <c r="B158" s="5">
        <v>707140.01275015017</v>
      </c>
      <c r="C158" s="5">
        <v>-9984.7127501501236</v>
      </c>
    </row>
    <row r="159" spans="1:3">
      <c r="A159" s="5">
        <v>129</v>
      </c>
      <c r="B159" s="5">
        <v>817758.83170846011</v>
      </c>
      <c r="C159" s="5">
        <v>31259.468291539932</v>
      </c>
    </row>
    <row r="160" spans="1:3">
      <c r="A160" s="5">
        <v>130</v>
      </c>
      <c r="B160" s="5">
        <v>796302.91469508281</v>
      </c>
      <c r="C160" s="5">
        <v>5527.4353049171623</v>
      </c>
    </row>
    <row r="161" spans="1:3">
      <c r="A161" s="5">
        <v>131</v>
      </c>
      <c r="B161" s="5">
        <v>780806.43817078602</v>
      </c>
      <c r="C161" s="5">
        <v>-55571.158170785988</v>
      </c>
    </row>
    <row r="162" spans="1:3">
      <c r="A162" s="5">
        <v>132</v>
      </c>
      <c r="B162" s="5">
        <v>819210.42792904971</v>
      </c>
      <c r="C162" s="5">
        <v>-7757.707929049735</v>
      </c>
    </row>
    <row r="163" spans="1:3">
      <c r="A163" s="5">
        <v>133</v>
      </c>
      <c r="B163" s="5">
        <v>579101.49314722104</v>
      </c>
      <c r="C163" s="5">
        <v>-51801.36314722104</v>
      </c>
    </row>
    <row r="164" spans="1:3">
      <c r="A164" s="5">
        <v>134</v>
      </c>
      <c r="B164" s="5">
        <v>455540.13763932465</v>
      </c>
      <c r="C164" s="5">
        <v>-54708.487639324623</v>
      </c>
    </row>
    <row r="165" spans="1:3">
      <c r="A165" s="5">
        <v>135</v>
      </c>
      <c r="B165" s="5">
        <v>598319.11158116558</v>
      </c>
      <c r="C165" s="5">
        <v>-5071.8615811655764</v>
      </c>
    </row>
    <row r="166" spans="1:3">
      <c r="A166" s="5">
        <v>136</v>
      </c>
      <c r="B166" s="5">
        <v>542163.69910434925</v>
      </c>
      <c r="C166" s="5">
        <v>-13087.749104349292</v>
      </c>
    </row>
    <row r="167" spans="1:3">
      <c r="A167" s="5">
        <v>137</v>
      </c>
      <c r="B167" s="5">
        <v>728500.60203390953</v>
      </c>
      <c r="C167" s="5">
        <v>-94862.572033909499</v>
      </c>
    </row>
    <row r="168" spans="1:3">
      <c r="A168" s="5">
        <v>138</v>
      </c>
      <c r="B168" s="5">
        <v>725890.91204572481</v>
      </c>
      <c r="C168" s="5">
        <v>17457.927954275161</v>
      </c>
    </row>
    <row r="169" spans="1:3">
      <c r="A169" s="5">
        <v>139</v>
      </c>
      <c r="B169" s="5">
        <v>708849.98285028606</v>
      </c>
      <c r="C169" s="5">
        <v>49977.657149713952</v>
      </c>
    </row>
    <row r="170" spans="1:3">
      <c r="A170" s="5">
        <v>140</v>
      </c>
      <c r="B170" s="5">
        <v>639781.6305598648</v>
      </c>
      <c r="C170" s="5">
        <v>6778.0794401351595</v>
      </c>
    </row>
    <row r="171" spans="1:3">
      <c r="A171" s="5">
        <v>141</v>
      </c>
      <c r="B171" s="5">
        <v>671802.79894744162</v>
      </c>
      <c r="C171" s="5">
        <v>44087.731052558403</v>
      </c>
    </row>
    <row r="172" spans="1:3">
      <c r="A172" s="5">
        <v>142</v>
      </c>
      <c r="B172" s="5">
        <v>700304.61698231311</v>
      </c>
      <c r="C172" s="5">
        <v>14792.953017686843</v>
      </c>
    </row>
    <row r="173" spans="1:3">
      <c r="A173" s="5">
        <v>143</v>
      </c>
      <c r="B173" s="5">
        <v>645010.47447108373</v>
      </c>
      <c r="C173" s="5">
        <v>37628.805528916302</v>
      </c>
    </row>
    <row r="174" spans="1:3">
      <c r="A174" s="5">
        <v>144</v>
      </c>
      <c r="B174" s="5">
        <v>676187.33814081608</v>
      </c>
      <c r="C174" s="5">
        <v>18911.171859183931</v>
      </c>
    </row>
    <row r="175" spans="1:3">
      <c r="A175" s="5">
        <v>145</v>
      </c>
      <c r="B175" s="5">
        <v>623645.21379781852</v>
      </c>
      <c r="C175" s="5">
        <v>-45912.643797818571</v>
      </c>
    </row>
    <row r="176" spans="1:3">
      <c r="A176" s="5">
        <v>146</v>
      </c>
      <c r="B176" s="5">
        <v>577125.75583770894</v>
      </c>
      <c r="C176" s="5">
        <v>-40067.425837708986</v>
      </c>
    </row>
    <row r="177" spans="1:3">
      <c r="A177" s="5">
        <v>147</v>
      </c>
      <c r="B177" s="5">
        <v>612114.65307908517</v>
      </c>
      <c r="C177" s="5">
        <v>-10545.783079085173</v>
      </c>
    </row>
    <row r="178" spans="1:3">
      <c r="A178" s="5">
        <v>148</v>
      </c>
      <c r="B178" s="5">
        <v>580326.5366650318</v>
      </c>
      <c r="C178" s="5">
        <v>-9361.6966650318354</v>
      </c>
    </row>
    <row r="179" spans="1:3">
      <c r="A179" s="5">
        <v>149</v>
      </c>
      <c r="B179" s="5">
        <v>646381.89559140382</v>
      </c>
      <c r="C179" s="5">
        <v>-32356.985591403791</v>
      </c>
    </row>
    <row r="180" spans="1:3">
      <c r="A180" s="5">
        <v>150</v>
      </c>
      <c r="B180" s="5">
        <v>708341.75779092719</v>
      </c>
      <c r="C180" s="5">
        <v>4526.5922090727836</v>
      </c>
    </row>
    <row r="181" spans="1:3">
      <c r="A181" s="5">
        <v>151</v>
      </c>
      <c r="B181" s="5">
        <v>664715.64133727574</v>
      </c>
      <c r="C181" s="5">
        <v>32028.508662724285</v>
      </c>
    </row>
    <row r="182" spans="1:3">
      <c r="A182" s="5">
        <v>152</v>
      </c>
      <c r="B182" s="5">
        <v>698689.67702729779</v>
      </c>
      <c r="C182" s="5">
        <v>27158.312972702202</v>
      </c>
    </row>
    <row r="183" spans="1:3">
      <c r="A183" s="5">
        <v>153</v>
      </c>
      <c r="B183" s="5">
        <v>789230.25090882578</v>
      </c>
      <c r="C183" s="5">
        <v>-4202.0009088257793</v>
      </c>
    </row>
    <row r="184" spans="1:3">
      <c r="A184" s="5">
        <v>154</v>
      </c>
      <c r="B184" s="5">
        <v>679194.31908789126</v>
      </c>
      <c r="C184" s="5">
        <v>19298.350912108785</v>
      </c>
    </row>
    <row r="185" spans="1:3">
      <c r="A185" s="5">
        <v>155</v>
      </c>
      <c r="B185" s="5">
        <v>718817.81656476739</v>
      </c>
      <c r="C185" s="5">
        <v>-32987.576564767398</v>
      </c>
    </row>
    <row r="186" spans="1:3">
      <c r="A186" s="5">
        <v>156</v>
      </c>
      <c r="B186" s="5">
        <v>693546.16985540104</v>
      </c>
      <c r="C186" s="5">
        <v>8772.7701445989078</v>
      </c>
    </row>
    <row r="187" spans="1:3">
      <c r="A187" s="5">
        <v>157</v>
      </c>
      <c r="B187" s="5">
        <v>706817.64802237728</v>
      </c>
      <c r="C187" s="5">
        <v>-6739.3280223773327</v>
      </c>
    </row>
    <row r="188" spans="1:3">
      <c r="A188" s="5">
        <v>158</v>
      </c>
      <c r="B188" s="5">
        <v>633770.85087145038</v>
      </c>
      <c r="C188" s="5">
        <v>-31768.530871450435</v>
      </c>
    </row>
    <row r="189" spans="1:3">
      <c r="A189" s="5">
        <v>159</v>
      </c>
      <c r="B189" s="5">
        <v>655573.29189800622</v>
      </c>
      <c r="C189" s="5">
        <v>68642.778101993725</v>
      </c>
    </row>
    <row r="190" spans="1:3">
      <c r="A190" s="5">
        <v>160</v>
      </c>
      <c r="B190" s="5">
        <v>560701.01108732063</v>
      </c>
      <c r="C190" s="5">
        <v>60272.018912679399</v>
      </c>
    </row>
    <row r="191" spans="1:3">
      <c r="A191" s="5">
        <v>161</v>
      </c>
      <c r="B191" s="5">
        <v>704830.82102358108</v>
      </c>
      <c r="C191" s="5">
        <v>-54350.761023581028</v>
      </c>
    </row>
    <row r="192" spans="1:3">
      <c r="A192" s="5">
        <v>162</v>
      </c>
      <c r="B192" s="5">
        <v>707726.06790964387</v>
      </c>
      <c r="C192" s="5">
        <v>70572.812090356136</v>
      </c>
    </row>
    <row r="193" spans="1:3">
      <c r="A193" s="5">
        <v>163</v>
      </c>
      <c r="B193" s="5">
        <v>693632.71230336849</v>
      </c>
      <c r="C193" s="5">
        <v>-16536.002303368528</v>
      </c>
    </row>
    <row r="194" spans="1:3">
      <c r="A194" s="5">
        <v>164</v>
      </c>
      <c r="B194" s="5">
        <v>703124.27051034977</v>
      </c>
      <c r="C194" s="5">
        <v>-11115.630510349758</v>
      </c>
    </row>
    <row r="195" spans="1:3">
      <c r="A195" s="5">
        <v>165</v>
      </c>
      <c r="B195" s="5">
        <v>775698.83178402076</v>
      </c>
      <c r="C195" s="5">
        <v>50099.078215979272</v>
      </c>
    </row>
    <row r="196" spans="1:3">
      <c r="A196" s="5">
        <v>166</v>
      </c>
      <c r="B196" s="5">
        <v>725067.23187789845</v>
      </c>
      <c r="C196" s="5">
        <v>-18781.71187789843</v>
      </c>
    </row>
    <row r="197" spans="1:3">
      <c r="A197" s="5">
        <v>167</v>
      </c>
      <c r="B197" s="5">
        <v>670021.41973667976</v>
      </c>
      <c r="C197" s="5">
        <v>-4486.7197366798064</v>
      </c>
    </row>
    <row r="198" spans="1:3">
      <c r="A198" s="5">
        <v>168</v>
      </c>
      <c r="B198" s="5">
        <v>806183.68273622624</v>
      </c>
      <c r="C198" s="5">
        <v>14545.607263773796</v>
      </c>
    </row>
    <row r="199" spans="1:3">
      <c r="A199" s="5">
        <v>169</v>
      </c>
      <c r="B199" s="5">
        <v>767744.21903736156</v>
      </c>
      <c r="C199" s="5">
        <v>-27912.489037361578</v>
      </c>
    </row>
    <row r="200" spans="1:3">
      <c r="A200" s="5">
        <v>170</v>
      </c>
      <c r="B200" s="5">
        <v>666314.0531451467</v>
      </c>
      <c r="C200" s="5">
        <v>-72676.913145146682</v>
      </c>
    </row>
    <row r="201" spans="1:3">
      <c r="A201" s="5">
        <v>171</v>
      </c>
      <c r="B201" s="5">
        <v>732353.15885802521</v>
      </c>
      <c r="C201" s="5">
        <v>37349.601141974796</v>
      </c>
    </row>
    <row r="202" spans="1:3">
      <c r="A202" s="5">
        <v>172</v>
      </c>
      <c r="B202" s="5">
        <v>688659.91841949103</v>
      </c>
      <c r="C202" s="5">
        <v>-8928.3484194910852</v>
      </c>
    </row>
    <row r="203" spans="1:3">
      <c r="A203" s="5">
        <v>173</v>
      </c>
      <c r="B203" s="5">
        <v>769063.09821872378</v>
      </c>
      <c r="C203" s="5">
        <v>11281.081781276269</v>
      </c>
    </row>
    <row r="204" spans="1:3">
      <c r="A204" s="5">
        <v>174</v>
      </c>
      <c r="B204" s="5">
        <v>756452.55968452129</v>
      </c>
      <c r="C204" s="5">
        <v>-35088.4496845213</v>
      </c>
    </row>
    <row r="205" spans="1:3">
      <c r="A205" s="5">
        <v>175</v>
      </c>
      <c r="B205" s="5">
        <v>781838.55640798167</v>
      </c>
      <c r="C205" s="5">
        <v>-23700.266407981631</v>
      </c>
    </row>
    <row r="206" spans="1:3">
      <c r="A206" s="5">
        <v>176</v>
      </c>
      <c r="B206" s="5">
        <v>821212.73275776126</v>
      </c>
      <c r="C206" s="5">
        <v>-16948.73275776126</v>
      </c>
    </row>
    <row r="207" spans="1:3">
      <c r="A207" s="5">
        <v>177</v>
      </c>
      <c r="B207" s="5">
        <v>868284.65839200362</v>
      </c>
      <c r="C207" s="5">
        <v>19253.091607996379</v>
      </c>
    </row>
    <row r="208" spans="1:3">
      <c r="A208" s="5">
        <v>178</v>
      </c>
      <c r="B208" s="5">
        <v>705589.34884995536</v>
      </c>
      <c r="C208" s="5">
        <v>77992.651150044636</v>
      </c>
    </row>
    <row r="209" spans="1:3">
      <c r="A209" s="5">
        <v>179</v>
      </c>
      <c r="B209" s="5">
        <v>746365.79789717158</v>
      </c>
      <c r="C209" s="5">
        <v>35589.72210282844</v>
      </c>
    </row>
    <row r="210" spans="1:3">
      <c r="A210" s="5">
        <v>180</v>
      </c>
      <c r="B210" s="5">
        <v>834793.02056596859</v>
      </c>
      <c r="C210" s="5">
        <v>63238.019434031448</v>
      </c>
    </row>
    <row r="211" spans="1:3">
      <c r="A211" s="5">
        <v>181</v>
      </c>
      <c r="B211" s="5">
        <v>866494.00106599962</v>
      </c>
      <c r="C211" s="5">
        <v>-11152.721065999591</v>
      </c>
    </row>
    <row r="212" spans="1:3">
      <c r="A212" s="5">
        <v>182</v>
      </c>
      <c r="B212" s="5">
        <v>759846.31733740529</v>
      </c>
      <c r="C212" s="5">
        <v>-8452.4373374052811</v>
      </c>
    </row>
    <row r="213" spans="1:3">
      <c r="A213" s="5">
        <v>183</v>
      </c>
      <c r="B213" s="5">
        <v>773556.34528488771</v>
      </c>
      <c r="C213" s="5">
        <v>-12479.265284887748</v>
      </c>
    </row>
    <row r="214" spans="1:3">
      <c r="A214" s="5">
        <v>184</v>
      </c>
      <c r="B214" s="5">
        <v>838216.34258210857</v>
      </c>
      <c r="C214" s="5">
        <v>-18555.752582108602</v>
      </c>
    </row>
    <row r="215" spans="1:3">
      <c r="A215" s="5">
        <v>185</v>
      </c>
      <c r="B215" s="5">
        <v>700413.07109024073</v>
      </c>
      <c r="C215" s="5">
        <v>-18557.511090240674</v>
      </c>
    </row>
    <row r="216" spans="1:3">
      <c r="A216" s="5">
        <v>186</v>
      </c>
      <c r="B216" s="5">
        <v>654883.47518269753</v>
      </c>
      <c r="C216" s="5">
        <v>23427.694817302516</v>
      </c>
    </row>
    <row r="217" spans="1:3">
      <c r="A217" s="5">
        <v>187</v>
      </c>
      <c r="B217" s="5">
        <v>701869.52125595044</v>
      </c>
      <c r="C217" s="5">
        <v>64037.42874404951</v>
      </c>
    </row>
    <row r="218" spans="1:3">
      <c r="A218" s="5">
        <v>188</v>
      </c>
      <c r="B218" s="5">
        <v>710758.21469696122</v>
      </c>
      <c r="C218" s="5">
        <v>1788.1653030387824</v>
      </c>
    </row>
    <row r="219" spans="1:3">
      <c r="A219" s="5">
        <v>189</v>
      </c>
      <c r="B219" s="5">
        <v>586030.61197756079</v>
      </c>
      <c r="C219" s="5">
        <v>39963.218022439163</v>
      </c>
    </row>
    <row r="220" spans="1:3">
      <c r="A220" s="5">
        <v>190</v>
      </c>
      <c r="B220" s="5">
        <v>537300.43596047699</v>
      </c>
      <c r="C220" s="5">
        <v>13662.494039523066</v>
      </c>
    </row>
    <row r="221" spans="1:3">
      <c r="A221" s="5">
        <v>191</v>
      </c>
      <c r="B221" s="5">
        <v>449608.56144832115</v>
      </c>
      <c r="C221" s="5">
        <v>-6332.9714483211283</v>
      </c>
    </row>
    <row r="222" spans="1:3">
      <c r="A222" s="5">
        <v>192</v>
      </c>
      <c r="B222" s="5">
        <v>593465.19452720322</v>
      </c>
      <c r="C222" s="5">
        <v>-39453.124527203268</v>
      </c>
    </row>
    <row r="223" spans="1:3">
      <c r="A223" s="5">
        <v>193</v>
      </c>
      <c r="B223" s="5">
        <v>700436.94111265615</v>
      </c>
      <c r="C223" s="5">
        <v>-57008.09111265617</v>
      </c>
    </row>
    <row r="224" spans="1:3">
      <c r="A224" s="5">
        <v>194</v>
      </c>
      <c r="B224" s="5">
        <v>632082.79289241496</v>
      </c>
      <c r="C224" s="5">
        <v>-20158.522892414941</v>
      </c>
    </row>
    <row r="225" spans="1:3">
      <c r="A225" s="5">
        <v>195</v>
      </c>
      <c r="B225" s="5">
        <v>571136.64150540892</v>
      </c>
      <c r="C225" s="5">
        <v>-11714.621505408897</v>
      </c>
    </row>
    <row r="226" spans="1:3">
      <c r="A226" s="5">
        <v>196</v>
      </c>
      <c r="B226" s="5">
        <v>539772.10801855032</v>
      </c>
      <c r="C226" s="5">
        <v>-90307.048018550326</v>
      </c>
    </row>
    <row r="227" spans="1:3">
      <c r="A227" s="5">
        <v>197</v>
      </c>
      <c r="B227" s="5">
        <v>649817.59812468418</v>
      </c>
      <c r="C227" s="5">
        <v>41629.831875315867</v>
      </c>
    </row>
    <row r="228" spans="1:3">
      <c r="A228" s="5">
        <v>198</v>
      </c>
      <c r="B228" s="5">
        <v>615121.85426261113</v>
      </c>
      <c r="C228" s="5">
        <v>-41055.244262611144</v>
      </c>
    </row>
    <row r="229" spans="1:3">
      <c r="A229" s="5">
        <v>199</v>
      </c>
      <c r="B229" s="5">
        <v>610507.23469740397</v>
      </c>
      <c r="C229" s="5">
        <v>-31557.394697404001</v>
      </c>
    </row>
    <row r="230" spans="1:3">
      <c r="A230" s="5">
        <v>200</v>
      </c>
      <c r="B230" s="5">
        <v>654038.54463544779</v>
      </c>
      <c r="C230" s="5">
        <v>81748.095364552224</v>
      </c>
    </row>
    <row r="231" spans="1:3">
      <c r="A231" s="5">
        <v>201</v>
      </c>
      <c r="B231" s="5">
        <v>598022.03190431639</v>
      </c>
      <c r="C231" s="5">
        <v>882.86809568363242</v>
      </c>
    </row>
    <row r="232" spans="1:3">
      <c r="A232" s="5">
        <v>202</v>
      </c>
      <c r="B232" s="5">
        <v>675945.28689641831</v>
      </c>
      <c r="C232" s="5">
        <v>111770.22310358169</v>
      </c>
    </row>
    <row r="233" spans="1:3">
      <c r="A233" s="5">
        <v>203</v>
      </c>
      <c r="B233" s="5">
        <v>640692.84881374775</v>
      </c>
      <c r="C233" s="5">
        <v>-33607.928813747712</v>
      </c>
    </row>
    <row r="234" spans="1:3">
      <c r="A234" s="5">
        <v>204</v>
      </c>
      <c r="B234" s="5">
        <v>661377.17714558181</v>
      </c>
      <c r="C234" s="5">
        <v>-10581.687145581818</v>
      </c>
    </row>
    <row r="235" spans="1:3">
      <c r="A235" s="5">
        <v>205</v>
      </c>
      <c r="B235" s="5">
        <v>830067.0664986039</v>
      </c>
      <c r="C235" s="5">
        <v>-5006.546498603886</v>
      </c>
    </row>
    <row r="236" spans="1:3">
      <c r="A236" s="5">
        <v>206</v>
      </c>
      <c r="B236" s="5">
        <v>728856.7869798725</v>
      </c>
      <c r="C236" s="5">
        <v>66607.683020127472</v>
      </c>
    </row>
    <row r="237" spans="1:3">
      <c r="A237" s="5">
        <v>207</v>
      </c>
      <c r="B237" s="5">
        <v>724867.78966570215</v>
      </c>
      <c r="C237" s="5">
        <v>-52999.199665702181</v>
      </c>
    </row>
    <row r="238" spans="1:3">
      <c r="A238" s="5">
        <v>208</v>
      </c>
      <c r="B238" s="5">
        <v>743942.70466219587</v>
      </c>
      <c r="C238" s="5">
        <v>-68025.074662195868</v>
      </c>
    </row>
    <row r="239" spans="1:3">
      <c r="A239" s="5">
        <v>209</v>
      </c>
      <c r="B239" s="5">
        <v>796703.93470562994</v>
      </c>
      <c r="C239" s="5">
        <v>13742.595294370083</v>
      </c>
    </row>
    <row r="240" spans="1:3">
      <c r="A240" s="5">
        <v>210</v>
      </c>
      <c r="B240" s="5">
        <v>763601.47962213459</v>
      </c>
      <c r="C240" s="5">
        <v>-72313.289622134645</v>
      </c>
    </row>
    <row r="241" spans="1:3">
      <c r="A241" s="5">
        <v>211</v>
      </c>
      <c r="B241" s="5">
        <v>958704.41223760671</v>
      </c>
      <c r="C241" s="5">
        <v>-11870.872237606673</v>
      </c>
    </row>
    <row r="242" spans="1:3">
      <c r="A242" s="5">
        <v>212</v>
      </c>
      <c r="B242" s="5">
        <v>767790.29379322578</v>
      </c>
      <c r="C242" s="5">
        <v>-5827.063793225796</v>
      </c>
    </row>
    <row r="243" spans="1:3">
      <c r="A243" s="5">
        <v>213</v>
      </c>
      <c r="B243" s="5">
        <v>785806.62518833356</v>
      </c>
      <c r="C243" s="5">
        <v>26345.974811666412</v>
      </c>
    </row>
    <row r="244" spans="1:3">
      <c r="A244" s="5">
        <v>214</v>
      </c>
      <c r="B244" s="5">
        <v>772308.55100123503</v>
      </c>
      <c r="C244" s="5">
        <v>32666.948998764972</v>
      </c>
    </row>
    <row r="245" spans="1:3">
      <c r="A245" s="5">
        <v>215</v>
      </c>
      <c r="B245" s="5">
        <v>772563.65612966288</v>
      </c>
      <c r="C245" s="5">
        <v>-20241.936129662907</v>
      </c>
    </row>
    <row r="246" spans="1:3">
      <c r="A246" s="5">
        <v>216</v>
      </c>
      <c r="B246" s="5">
        <v>833167.65447664016</v>
      </c>
      <c r="C246" s="5">
        <v>3740.5855233598268</v>
      </c>
    </row>
    <row r="247" spans="1:3">
      <c r="A247" s="5">
        <v>217</v>
      </c>
      <c r="B247" s="5">
        <v>640948.6757784409</v>
      </c>
      <c r="C247" s="5">
        <v>33340.424221559078</v>
      </c>
    </row>
    <row r="248" spans="1:3">
      <c r="A248" s="5">
        <v>218</v>
      </c>
      <c r="B248" s="5">
        <v>611557.75842462468</v>
      </c>
      <c r="C248" s="5">
        <v>11334.661575375358</v>
      </c>
    </row>
    <row r="249" spans="1:3">
      <c r="A249" s="5">
        <v>219</v>
      </c>
      <c r="B249" s="5">
        <v>613178.03072733455</v>
      </c>
      <c r="C249" s="5">
        <v>60170.529272665503</v>
      </c>
    </row>
    <row r="250" spans="1:3">
      <c r="A250" s="5">
        <v>220</v>
      </c>
      <c r="B250" s="5">
        <v>590300.71506390686</v>
      </c>
      <c r="C250" s="5">
        <v>15977.58493609319</v>
      </c>
    </row>
    <row r="251" spans="1:3">
      <c r="A251" s="5">
        <v>221</v>
      </c>
      <c r="B251" s="5">
        <v>696144.16562090209</v>
      </c>
      <c r="C251" s="5">
        <v>16075.644379097968</v>
      </c>
    </row>
    <row r="252" spans="1:3">
      <c r="A252" s="5">
        <v>222</v>
      </c>
      <c r="B252" s="5">
        <v>671340.82086759934</v>
      </c>
      <c r="C252" s="5">
        <v>1329.7191324006999</v>
      </c>
    </row>
    <row r="253" spans="1:3">
      <c r="A253" s="5">
        <v>223</v>
      </c>
      <c r="B253" s="5">
        <v>733174.7416519433</v>
      </c>
      <c r="C253" s="5">
        <v>-506.8216519432608</v>
      </c>
    </row>
    <row r="254" spans="1:3">
      <c r="A254" s="5">
        <v>224</v>
      </c>
      <c r="B254" s="5">
        <v>759059.06886753405</v>
      </c>
      <c r="C254" s="5">
        <v>-35527.668867534027</v>
      </c>
    </row>
    <row r="255" spans="1:3">
      <c r="A255" s="5">
        <v>225</v>
      </c>
      <c r="B255" s="5">
        <v>601314.59211337089</v>
      </c>
      <c r="C255" s="5">
        <v>40250.007886629086</v>
      </c>
    </row>
    <row r="256" spans="1:3">
      <c r="A256" s="5">
        <v>226</v>
      </c>
      <c r="B256" s="5">
        <v>521299.44378868502</v>
      </c>
      <c r="C256" s="5">
        <v>15246.04621131497</v>
      </c>
    </row>
    <row r="257" spans="1:3">
      <c r="A257" s="5">
        <v>227</v>
      </c>
      <c r="B257" s="5">
        <v>546306.12243504159</v>
      </c>
      <c r="C257" s="5">
        <v>-18624.562435041531</v>
      </c>
    </row>
    <row r="258" spans="1:3">
      <c r="A258" s="5">
        <v>228</v>
      </c>
      <c r="B258" s="5">
        <v>494535.98744673171</v>
      </c>
      <c r="C258" s="5">
        <v>35062.952553268231</v>
      </c>
    </row>
    <row r="259" spans="1:3">
      <c r="A259" s="5">
        <v>229</v>
      </c>
      <c r="B259" s="5">
        <v>623326.67373131169</v>
      </c>
      <c r="C259" s="5">
        <v>-52363.363731311634</v>
      </c>
    </row>
    <row r="260" spans="1:3">
      <c r="A260" s="5">
        <v>230</v>
      </c>
      <c r="B260" s="5">
        <v>808322.18473386671</v>
      </c>
      <c r="C260" s="5">
        <v>62615.215266133309</v>
      </c>
    </row>
    <row r="261" spans="1:3">
      <c r="A261" s="5">
        <v>231</v>
      </c>
      <c r="B261" s="5">
        <v>628743.66685923748</v>
      </c>
      <c r="C261" s="5">
        <v>-31774.396859237459</v>
      </c>
    </row>
    <row r="262" spans="1:3">
      <c r="A262" s="5">
        <v>232</v>
      </c>
      <c r="B262" s="5">
        <v>623101.08325499529</v>
      </c>
      <c r="C262" s="5">
        <v>24411.766745004687</v>
      </c>
    </row>
    <row r="263" spans="1:3">
      <c r="A263" s="5">
        <v>233</v>
      </c>
      <c r="B263" s="5">
        <v>620833.19563431223</v>
      </c>
      <c r="C263" s="5">
        <v>37238.944365687785</v>
      </c>
    </row>
    <row r="264" spans="1:3">
      <c r="A264" s="5">
        <v>234</v>
      </c>
      <c r="B264" s="5">
        <v>653502.06782314763</v>
      </c>
      <c r="C264" s="5">
        <v>69803.042176852352</v>
      </c>
    </row>
    <row r="265" spans="1:3">
      <c r="A265" s="5">
        <v>235</v>
      </c>
      <c r="B265" s="5">
        <v>642177.50007496774</v>
      </c>
      <c r="C265" s="5">
        <v>-1510.970074967714</v>
      </c>
    </row>
    <row r="266" spans="1:3">
      <c r="A266" s="5">
        <v>236</v>
      </c>
      <c r="B266" s="5">
        <v>674782.07627937931</v>
      </c>
      <c r="C266" s="5">
        <v>-4152.5962793793296</v>
      </c>
    </row>
    <row r="267" spans="1:3">
      <c r="A267" s="5">
        <v>237</v>
      </c>
      <c r="B267" s="5">
        <v>791784.95014157624</v>
      </c>
      <c r="C267" s="5">
        <v>-70705.600141576258</v>
      </c>
    </row>
    <row r="268" spans="1:3">
      <c r="A268" s="5">
        <v>238</v>
      </c>
      <c r="B268" s="5">
        <v>825870.19300111593</v>
      </c>
      <c r="C268" s="5">
        <v>-15515.173001115909</v>
      </c>
    </row>
    <row r="269" spans="1:3">
      <c r="A269" s="5">
        <v>239</v>
      </c>
      <c r="B269" s="5">
        <v>771620.54484639643</v>
      </c>
      <c r="C269" s="5">
        <v>-9701.2948463964276</v>
      </c>
    </row>
    <row r="270" spans="1:3">
      <c r="A270" s="5">
        <v>240</v>
      </c>
      <c r="B270" s="5">
        <v>728507.71040417126</v>
      </c>
      <c r="C270" s="5">
        <v>8562.4695958287921</v>
      </c>
    </row>
    <row r="271" spans="1:3">
      <c r="A271" s="5">
        <v>241</v>
      </c>
      <c r="B271" s="5">
        <v>740230.30789258436</v>
      </c>
      <c r="C271" s="5">
        <v>36762.622107415693</v>
      </c>
    </row>
    <row r="272" spans="1:3">
      <c r="A272" s="5">
        <v>242</v>
      </c>
      <c r="B272" s="5">
        <v>649565.11648966151</v>
      </c>
      <c r="C272" s="5">
        <v>26772.293510338524</v>
      </c>
    </row>
    <row r="273" spans="1:3">
      <c r="A273" s="5">
        <v>243</v>
      </c>
      <c r="B273" s="5">
        <v>814672.1444534139</v>
      </c>
      <c r="C273" s="5">
        <v>13547.525546586141</v>
      </c>
    </row>
    <row r="274" spans="1:3">
      <c r="A274" s="5">
        <v>244</v>
      </c>
      <c r="B274" s="5">
        <v>761487.06430132315</v>
      </c>
      <c r="C274" s="5">
        <v>1672.8556986768963</v>
      </c>
    </row>
    <row r="275" spans="1:3">
      <c r="A275" s="5">
        <v>245</v>
      </c>
      <c r="B275" s="5">
        <v>784019.01266368013</v>
      </c>
      <c r="C275" s="5">
        <v>17982.667336319922</v>
      </c>
    </row>
    <row r="276" spans="1:3">
      <c r="A276" s="5">
        <v>246</v>
      </c>
      <c r="B276" s="5">
        <v>744919.06370189739</v>
      </c>
      <c r="C276" s="5">
        <v>5552.2762981025735</v>
      </c>
    </row>
    <row r="277" spans="1:3">
      <c r="A277" s="5">
        <v>247</v>
      </c>
      <c r="B277" s="5">
        <v>703430.16290983441</v>
      </c>
      <c r="C277" s="5">
        <v>-24199.302909834427</v>
      </c>
    </row>
    <row r="278" spans="1:3">
      <c r="A278" s="5">
        <v>248</v>
      </c>
      <c r="B278" s="5">
        <v>681698.54125392158</v>
      </c>
      <c r="C278" s="5">
        <v>-1809.8012539215852</v>
      </c>
    </row>
    <row r="279" spans="1:3">
      <c r="A279" s="5">
        <v>249</v>
      </c>
      <c r="B279" s="5">
        <v>591482.26442425058</v>
      </c>
      <c r="C279" s="5">
        <v>15301.405575749464</v>
      </c>
    </row>
    <row r="280" spans="1:3">
      <c r="A280" s="5">
        <v>250</v>
      </c>
      <c r="B280" s="5">
        <v>660447.83956847328</v>
      </c>
      <c r="C280" s="5">
        <v>-17696.41956847324</v>
      </c>
    </row>
    <row r="281" spans="1:3">
      <c r="A281" s="5">
        <v>251</v>
      </c>
      <c r="B281" s="5">
        <v>643156.4625303077</v>
      </c>
      <c r="C281" s="5">
        <v>4797.3174696923234</v>
      </c>
    </row>
    <row r="282" spans="1:3">
      <c r="A282" s="5">
        <v>252</v>
      </c>
      <c r="B282" s="5">
        <v>715092.92627593398</v>
      </c>
      <c r="C282" s="5">
        <v>14347.523724065977</v>
      </c>
    </row>
    <row r="283" spans="1:3">
      <c r="A283" s="5">
        <v>253</v>
      </c>
      <c r="B283" s="5">
        <v>761044.86401340913</v>
      </c>
      <c r="C283" s="5">
        <v>3904.1359865908744</v>
      </c>
    </row>
    <row r="284" spans="1:3">
      <c r="A284" s="5">
        <v>254</v>
      </c>
      <c r="B284" s="5">
        <v>714541.08515068504</v>
      </c>
      <c r="C284" s="5">
        <v>84505.854849314899</v>
      </c>
    </row>
    <row r="285" spans="1:3">
      <c r="A285" s="5">
        <v>255</v>
      </c>
      <c r="B285" s="5">
        <v>683730.79631845118</v>
      </c>
      <c r="C285" s="5">
        <v>36348.743681548862</v>
      </c>
    </row>
    <row r="286" spans="1:3">
      <c r="A286" s="5">
        <v>256</v>
      </c>
      <c r="B286" s="5">
        <v>647095.0798669142</v>
      </c>
      <c r="C286" s="5">
        <v>-34704.939866914181</v>
      </c>
    </row>
    <row r="287" spans="1:3">
      <c r="A287" s="5">
        <v>257</v>
      </c>
      <c r="B287" s="5">
        <v>757416.76728772873</v>
      </c>
      <c r="C287" s="5">
        <v>82691.352712271269</v>
      </c>
    </row>
    <row r="288" spans="1:3">
      <c r="A288" s="5">
        <v>258</v>
      </c>
      <c r="B288" s="5">
        <v>676793.158369752</v>
      </c>
      <c r="C288" s="5">
        <v>21094.931630247971</v>
      </c>
    </row>
    <row r="289" spans="1:3">
      <c r="A289" s="5">
        <v>259</v>
      </c>
      <c r="B289" s="5">
        <v>742560.20897228143</v>
      </c>
      <c r="C289" s="5">
        <v>3555.3810277185403</v>
      </c>
    </row>
    <row r="290" spans="1:3">
      <c r="A290" s="5">
        <v>260</v>
      </c>
      <c r="B290" s="5">
        <v>729316.87156296812</v>
      </c>
      <c r="C290" s="5">
        <v>46793.448437031824</v>
      </c>
    </row>
    <row r="291" spans="1:3">
      <c r="A291" s="5">
        <v>261</v>
      </c>
      <c r="B291" s="5">
        <v>523688.87021860195</v>
      </c>
      <c r="C291" s="5">
        <v>5163.7497813980444</v>
      </c>
    </row>
    <row r="292" spans="1:3">
      <c r="A292" s="5">
        <v>262</v>
      </c>
      <c r="B292" s="5">
        <v>606065.76622245996</v>
      </c>
      <c r="C292" s="5">
        <v>-314.4362224600045</v>
      </c>
    </row>
    <row r="293" spans="1:3">
      <c r="A293" s="5">
        <v>263</v>
      </c>
      <c r="B293" s="5">
        <v>614359.2767161096</v>
      </c>
      <c r="C293" s="5">
        <v>63281.373283890425</v>
      </c>
    </row>
    <row r="294" spans="1:3">
      <c r="A294" s="5">
        <v>264</v>
      </c>
      <c r="B294" s="5">
        <v>613696.75578527583</v>
      </c>
      <c r="C294" s="5">
        <v>22916.474214724149</v>
      </c>
    </row>
    <row r="295" spans="1:3">
      <c r="A295" s="5">
        <v>265</v>
      </c>
      <c r="B295" s="5">
        <v>721131.16955363238</v>
      </c>
      <c r="C295" s="5">
        <v>-12145.979553632438</v>
      </c>
    </row>
    <row r="296" spans="1:3">
      <c r="A296" s="5">
        <v>266</v>
      </c>
      <c r="B296" s="5">
        <v>729561.48948765197</v>
      </c>
      <c r="C296" s="5">
        <v>38231.450512347976</v>
      </c>
    </row>
    <row r="297" spans="1:3">
      <c r="A297" s="5">
        <v>267</v>
      </c>
      <c r="B297" s="5">
        <v>715198.19701366057</v>
      </c>
      <c r="C297" s="5">
        <v>30382.312986339442</v>
      </c>
    </row>
    <row r="298" spans="1:3">
      <c r="A298" s="5">
        <v>268</v>
      </c>
      <c r="B298" s="5">
        <v>724331.82134862849</v>
      </c>
      <c r="C298" s="5">
        <v>37996.488651371561</v>
      </c>
    </row>
    <row r="299" spans="1:3">
      <c r="A299" s="5">
        <v>269</v>
      </c>
      <c r="B299" s="5">
        <v>730595.88240875723</v>
      </c>
      <c r="C299" s="5">
        <v>-69961.892408757238</v>
      </c>
    </row>
    <row r="300" spans="1:3">
      <c r="A300" s="5">
        <v>270</v>
      </c>
      <c r="B300" s="5">
        <v>682109.77571235143</v>
      </c>
      <c r="C300" s="5">
        <v>57264.784287648625</v>
      </c>
    </row>
    <row r="301" spans="1:3">
      <c r="A301" s="5">
        <v>271</v>
      </c>
      <c r="B301" s="5">
        <v>793283.22774459468</v>
      </c>
      <c r="C301" s="5">
        <v>6473.2322554052807</v>
      </c>
    </row>
    <row r="302" spans="1:3">
      <c r="A302" s="5">
        <v>272</v>
      </c>
      <c r="B302" s="5">
        <v>662949.74380857754</v>
      </c>
      <c r="C302" s="5">
        <v>-69606.743808577536</v>
      </c>
    </row>
    <row r="303" spans="1:3">
      <c r="A303" s="5">
        <v>273</v>
      </c>
      <c r="B303" s="5">
        <v>647065.67157879949</v>
      </c>
      <c r="C303" s="5">
        <v>-2025.7015787995188</v>
      </c>
    </row>
    <row r="304" spans="1:3">
      <c r="A304" s="5">
        <v>274</v>
      </c>
      <c r="B304" s="5">
        <v>529623.50071141019</v>
      </c>
      <c r="C304" s="5">
        <v>31973.829288589768</v>
      </c>
    </row>
    <row r="305" spans="1:3">
      <c r="A305" s="5">
        <v>275</v>
      </c>
      <c r="B305" s="5">
        <v>652967.42549775215</v>
      </c>
      <c r="C305" s="5">
        <v>-17129.685497752158</v>
      </c>
    </row>
    <row r="306" spans="1:3">
      <c r="A306" s="5">
        <v>276</v>
      </c>
      <c r="B306" s="5">
        <v>606610.72090334538</v>
      </c>
      <c r="C306" s="5">
        <v>80127.149096654612</v>
      </c>
    </row>
    <row r="307" spans="1:3">
      <c r="A307" s="5">
        <v>277</v>
      </c>
      <c r="B307" s="5">
        <v>761313.98509090615</v>
      </c>
      <c r="C307" s="5">
        <v>-88237.645090906182</v>
      </c>
    </row>
    <row r="308" spans="1:3">
      <c r="A308" s="5">
        <v>278</v>
      </c>
      <c r="B308" s="5">
        <v>723777.05381760374</v>
      </c>
      <c r="C308" s="5">
        <v>14771.366182396305</v>
      </c>
    </row>
    <row r="309" spans="1:3">
      <c r="A309" s="5">
        <v>279</v>
      </c>
      <c r="B309" s="5">
        <v>764443.18421603204</v>
      </c>
      <c r="C309" s="5">
        <v>-7823.4142160320189</v>
      </c>
    </row>
    <row r="310" spans="1:3">
      <c r="A310" s="5">
        <v>280</v>
      </c>
      <c r="B310" s="5">
        <v>795665.99675104965</v>
      </c>
      <c r="C310" s="5">
        <v>-34543.576751049608</v>
      </c>
    </row>
    <row r="311" spans="1:3">
      <c r="A311" s="5">
        <v>281</v>
      </c>
      <c r="B311" s="5">
        <v>580196.49120148073</v>
      </c>
      <c r="C311" s="5">
        <v>-55296.921201480785</v>
      </c>
    </row>
    <row r="312" spans="1:3">
      <c r="A312" s="5">
        <v>282</v>
      </c>
      <c r="B312" s="5">
        <v>592892.03138929221</v>
      </c>
      <c r="C312" s="5">
        <v>-37334.261389292195</v>
      </c>
    </row>
    <row r="313" spans="1:3">
      <c r="A313" s="5">
        <v>283</v>
      </c>
      <c r="B313" s="5">
        <v>697538.26990608091</v>
      </c>
      <c r="C313" s="5">
        <v>16545.410093919141</v>
      </c>
    </row>
    <row r="314" spans="1:3">
      <c r="A314" s="5">
        <v>284</v>
      </c>
      <c r="B314" s="5">
        <v>505631.0840270957</v>
      </c>
      <c r="C314" s="5">
        <v>-8191.2640270956908</v>
      </c>
    </row>
    <row r="315" spans="1:3">
      <c r="A315" s="5">
        <v>285</v>
      </c>
      <c r="B315" s="5">
        <v>658439.12215707789</v>
      </c>
      <c r="C315" s="5">
        <v>-21663.462157077854</v>
      </c>
    </row>
    <row r="316" spans="1:3">
      <c r="A316" s="5">
        <v>286</v>
      </c>
      <c r="B316" s="5">
        <v>642954.58797010628</v>
      </c>
      <c r="C316" s="5">
        <v>-9945.0579701062525</v>
      </c>
    </row>
    <row r="317" spans="1:3">
      <c r="A317" s="5">
        <v>287</v>
      </c>
      <c r="B317" s="5">
        <v>611457.74041537195</v>
      </c>
      <c r="C317" s="5">
        <v>-1508.7404153719544</v>
      </c>
    </row>
    <row r="318" spans="1:3">
      <c r="A318" s="5">
        <v>288</v>
      </c>
      <c r="B318" s="5">
        <v>566147.94413066574</v>
      </c>
      <c r="C318" s="5">
        <v>-18044.244130665786</v>
      </c>
    </row>
    <row r="319" spans="1:3">
      <c r="A319" s="5">
        <v>289</v>
      </c>
      <c r="B319" s="5">
        <v>700075.32951400999</v>
      </c>
      <c r="C319" s="5">
        <v>29349.090485990047</v>
      </c>
    </row>
    <row r="320" spans="1:3">
      <c r="A320" s="5">
        <v>290</v>
      </c>
      <c r="B320" s="5">
        <v>719317.37684931618</v>
      </c>
      <c r="C320" s="5">
        <v>-23055.886849316186</v>
      </c>
    </row>
    <row r="321" spans="1:3">
      <c r="A321" s="5">
        <v>291</v>
      </c>
      <c r="B321" s="5">
        <v>720153.59208018798</v>
      </c>
      <c r="C321" s="5">
        <v>93163.117919811979</v>
      </c>
    </row>
    <row r="322" spans="1:3">
      <c r="A322" s="5">
        <v>292</v>
      </c>
      <c r="B322" s="5">
        <v>715771.27036213037</v>
      </c>
      <c r="C322" s="5">
        <v>-13702.350362130324</v>
      </c>
    </row>
    <row r="323" spans="1:3">
      <c r="A323" s="5">
        <v>293</v>
      </c>
      <c r="B323" s="5">
        <v>586586.89332763653</v>
      </c>
      <c r="C323" s="5">
        <v>-40363.193327636574</v>
      </c>
    </row>
    <row r="324" spans="1:3">
      <c r="A324" s="5">
        <v>294</v>
      </c>
      <c r="B324" s="5">
        <v>526898.78864718659</v>
      </c>
      <c r="C324" s="5">
        <v>6222.4713528134162</v>
      </c>
    </row>
    <row r="325" spans="1:3">
      <c r="A325" s="5">
        <v>295</v>
      </c>
      <c r="B325" s="5">
        <v>495851.7199221864</v>
      </c>
      <c r="C325" s="5">
        <v>3118.6000778136076</v>
      </c>
    </row>
    <row r="326" spans="1:3">
      <c r="A326" s="5">
        <v>296</v>
      </c>
      <c r="B326" s="5">
        <v>466292.76998581726</v>
      </c>
      <c r="C326" s="5">
        <v>21445.490014182753</v>
      </c>
    </row>
    <row r="327" spans="1:3">
      <c r="A327" s="5">
        <v>297</v>
      </c>
      <c r="B327" s="5">
        <v>681651.24801232491</v>
      </c>
      <c r="C327" s="5">
        <v>-13191.878012324916</v>
      </c>
    </row>
    <row r="328" spans="1:3">
      <c r="A328" s="5">
        <v>298</v>
      </c>
      <c r="B328" s="5">
        <v>686635.87462103681</v>
      </c>
      <c r="C328" s="5">
        <v>76526.575378963142</v>
      </c>
    </row>
    <row r="329" spans="1:3">
      <c r="A329" s="5">
        <v>299</v>
      </c>
      <c r="B329" s="5">
        <v>628578.79900128557</v>
      </c>
      <c r="C329" s="5">
        <v>-29561.469001285615</v>
      </c>
    </row>
    <row r="330" spans="1:3">
      <c r="A330" s="5">
        <v>300</v>
      </c>
      <c r="B330" s="5">
        <v>479845.84652664978</v>
      </c>
      <c r="C330" s="5">
        <v>-78263.266526649764</v>
      </c>
    </row>
    <row r="331" spans="1:3">
      <c r="A331" s="5">
        <v>301</v>
      </c>
      <c r="B331" s="5">
        <v>717972.87800037081</v>
      </c>
      <c r="C331" s="5">
        <v>-14159.888000370818</v>
      </c>
    </row>
    <row r="332" spans="1:3">
      <c r="A332" s="5">
        <v>302</v>
      </c>
      <c r="B332" s="5">
        <v>726684.9790969108</v>
      </c>
      <c r="C332" s="5">
        <v>-2338.2490969108185</v>
      </c>
    </row>
    <row r="333" spans="1:3">
      <c r="A333" s="5">
        <v>303</v>
      </c>
      <c r="B333" s="5">
        <v>730524.89874693181</v>
      </c>
      <c r="C333" s="5">
        <v>365.11125306820031</v>
      </c>
    </row>
    <row r="334" spans="1:3">
      <c r="A334" s="5">
        <v>304</v>
      </c>
      <c r="B334" s="5">
        <v>715564.62277483556</v>
      </c>
      <c r="C334" s="5">
        <v>65016.327225164394</v>
      </c>
    </row>
    <row r="335" spans="1:3">
      <c r="A335" s="5">
        <v>305</v>
      </c>
      <c r="B335" s="5">
        <v>701243.13507965277</v>
      </c>
      <c r="C335" s="5">
        <v>26714.344920347212</v>
      </c>
    </row>
    <row r="336" spans="1:3">
      <c r="A336" s="5">
        <v>306</v>
      </c>
      <c r="B336" s="5">
        <v>652762.4132726281</v>
      </c>
      <c r="C336" s="5">
        <v>-114386.4132726281</v>
      </c>
    </row>
    <row r="337" spans="1:3">
      <c r="A337" s="5">
        <v>307</v>
      </c>
      <c r="B337" s="5">
        <v>633384.21408566739</v>
      </c>
      <c r="C337" s="5">
        <v>31958.275914332597</v>
      </c>
    </row>
    <row r="338" spans="1:3">
      <c r="A338" s="5">
        <v>308</v>
      </c>
      <c r="B338" s="5">
        <v>721873.03423748666</v>
      </c>
      <c r="C338" s="5">
        <v>-70708.854237486608</v>
      </c>
    </row>
    <row r="339" spans="1:3">
      <c r="A339" s="5">
        <v>309</v>
      </c>
      <c r="B339" s="5">
        <v>649659.55054137332</v>
      </c>
      <c r="C339" s="5">
        <v>-21121.250541373272</v>
      </c>
    </row>
    <row r="340" spans="1:3">
      <c r="A340" s="5">
        <v>310</v>
      </c>
      <c r="B340" s="5">
        <v>582230.62936246023</v>
      </c>
      <c r="C340" s="5">
        <v>-45705.789362460258</v>
      </c>
    </row>
    <row r="341" spans="1:3">
      <c r="A341" s="5">
        <v>311</v>
      </c>
      <c r="B341" s="5">
        <v>638002.04801084928</v>
      </c>
      <c r="C341" s="5">
        <v>-16324.748010849231</v>
      </c>
    </row>
    <row r="342" spans="1:3">
      <c r="A342" s="5">
        <v>312</v>
      </c>
      <c r="B342" s="5">
        <v>756829.75258901075</v>
      </c>
      <c r="C342" s="5">
        <v>14299.317410989199</v>
      </c>
    </row>
    <row r="343" spans="1:3">
      <c r="A343" s="5">
        <v>313</v>
      </c>
      <c r="B343" s="5">
        <v>691551.45368407085</v>
      </c>
      <c r="C343" s="5">
        <v>10501.016315929126</v>
      </c>
    </row>
    <row r="344" spans="1:3">
      <c r="A344" s="5">
        <v>314</v>
      </c>
      <c r="B344" s="5">
        <v>731625.06757629674</v>
      </c>
      <c r="C344" s="5">
        <v>-43256.607576296781</v>
      </c>
    </row>
    <row r="345" spans="1:3">
      <c r="A345" s="5">
        <v>315</v>
      </c>
      <c r="B345" s="5">
        <v>697864.45048955968</v>
      </c>
      <c r="C345" s="5">
        <v>14511.319510440342</v>
      </c>
    </row>
    <row r="346" spans="1:3">
      <c r="A346" s="5">
        <v>316</v>
      </c>
      <c r="B346" s="5">
        <v>826156.36125205597</v>
      </c>
      <c r="C346" s="5">
        <v>18554.308747944073</v>
      </c>
    </row>
    <row r="347" spans="1:3">
      <c r="A347" s="5">
        <v>317</v>
      </c>
      <c r="B347" s="5">
        <v>672341.29045857466</v>
      </c>
      <c r="C347" s="5">
        <v>-52077.090458574705</v>
      </c>
    </row>
    <row r="348" spans="1:3">
      <c r="A348" s="5">
        <v>318</v>
      </c>
      <c r="B348" s="5">
        <v>533220.85445030755</v>
      </c>
      <c r="C348" s="5">
        <v>3624.5655496924883</v>
      </c>
    </row>
    <row r="349" spans="1:3">
      <c r="A349" s="5">
        <v>319</v>
      </c>
      <c r="B349" s="5">
        <v>727283.41640797106</v>
      </c>
      <c r="C349" s="5">
        <v>-507.19640797108877</v>
      </c>
    </row>
    <row r="350" spans="1:3" ht="15" thickBot="1">
      <c r="A350" s="6">
        <v>320</v>
      </c>
      <c r="B350" s="6">
        <v>595796.05605525256</v>
      </c>
      <c r="C350" s="6">
        <v>-36135.216055252589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FACF-6F9D-4611-9AF0-675CEA735ED5}">
  <dimension ref="A1:Q321"/>
  <sheetViews>
    <sheetView topLeftCell="A303" workbookViewId="0">
      <selection activeCell="O1" sqref="O1:Q321"/>
    </sheetView>
  </sheetViews>
  <sheetFormatPr defaultRowHeight="14.5"/>
  <cols>
    <col min="1" max="1" width="8.453125" bestFit="1" customWidth="1"/>
    <col min="2" max="2" width="10.1796875" customWidth="1"/>
    <col min="3" max="3" width="10.26953125" customWidth="1"/>
    <col min="4" max="4" width="9.81640625" bestFit="1" customWidth="1"/>
    <col min="5" max="5" width="8.90625" customWidth="1"/>
    <col min="9" max="9" width="12.90625" customWidth="1"/>
    <col min="10" max="10" width="12.453125" customWidth="1"/>
    <col min="11" max="11" width="8.453125" bestFit="1" customWidth="1"/>
  </cols>
  <sheetData>
    <row r="1" spans="1:17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24</v>
      </c>
      <c r="Q1" s="1" t="s">
        <v>27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IF(C2="North",1,0)</f>
        <v>0</v>
      </c>
      <c r="P2">
        <f>IF(C2="South",1,0)</f>
        <v>0</v>
      </c>
      <c r="Q2">
        <f>IF(C2="West",1,0)</f>
        <v>0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0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</row>
    <row r="35" spans="1:17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</row>
    <row r="36" spans="1:17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</row>
    <row r="37" spans="1:17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</row>
    <row r="38" spans="1:17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</row>
    <row r="39" spans="1:17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</row>
    <row r="40" spans="1:17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</row>
    <row r="41" spans="1:17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</row>
    <row r="42" spans="1:17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</row>
    <row r="43" spans="1:17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</row>
    <row r="44" spans="1:17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</row>
    <row r="45" spans="1:17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</row>
    <row r="46" spans="1:17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</row>
    <row r="47" spans="1:17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</row>
    <row r="48" spans="1:17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</row>
    <row r="49" spans="1:17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</row>
    <row r="50" spans="1:17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</row>
    <row r="51" spans="1:17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</row>
    <row r="52" spans="1:17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</row>
    <row r="53" spans="1:17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</row>
    <row r="54" spans="1:17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</row>
    <row r="56" spans="1:17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</row>
    <row r="57" spans="1:17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</row>
    <row r="59" spans="1:17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</row>
    <row r="60" spans="1:17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</row>
    <row r="61" spans="1:17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</row>
    <row r="62" spans="1:17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</row>
    <row r="63" spans="1:17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</row>
    <row r="64" spans="1:17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</row>
    <row r="65" spans="1:17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</row>
    <row r="66" spans="1:17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</row>
    <row r="67" spans="1:17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3">IF(C67="North",1,0)</f>
        <v>0</v>
      </c>
      <c r="P67">
        <f t="shared" ref="P67:P130" si="4">IF(C67="South",1,0)</f>
        <v>0</v>
      </c>
      <c r="Q67">
        <f t="shared" ref="Q67:Q130" si="5">IF(C67="West",1,0)</f>
        <v>1</v>
      </c>
    </row>
    <row r="68" spans="1:17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3"/>
        <v>0</v>
      </c>
      <c r="P68">
        <f t="shared" si="4"/>
        <v>0</v>
      </c>
      <c r="Q68">
        <f t="shared" si="5"/>
        <v>1</v>
      </c>
    </row>
    <row r="69" spans="1:17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3"/>
        <v>0</v>
      </c>
      <c r="P69">
        <f t="shared" si="4"/>
        <v>0</v>
      </c>
      <c r="Q69">
        <f t="shared" si="5"/>
        <v>1</v>
      </c>
    </row>
    <row r="70" spans="1:17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3"/>
        <v>0</v>
      </c>
      <c r="P70">
        <f t="shared" si="4"/>
        <v>0</v>
      </c>
      <c r="Q70">
        <f t="shared" si="5"/>
        <v>0</v>
      </c>
    </row>
    <row r="71" spans="1:17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3"/>
        <v>0</v>
      </c>
      <c r="P71">
        <f t="shared" si="4"/>
        <v>0</v>
      </c>
      <c r="Q71">
        <f t="shared" si="5"/>
        <v>0</v>
      </c>
    </row>
    <row r="72" spans="1:17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3"/>
        <v>0</v>
      </c>
      <c r="P72">
        <f t="shared" si="4"/>
        <v>0</v>
      </c>
      <c r="Q72">
        <f t="shared" si="5"/>
        <v>0</v>
      </c>
    </row>
    <row r="73" spans="1:17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>
        <f t="shared" si="3"/>
        <v>0</v>
      </c>
      <c r="P73">
        <f t="shared" si="4"/>
        <v>0</v>
      </c>
      <c r="Q73">
        <f t="shared" si="5"/>
        <v>0</v>
      </c>
    </row>
    <row r="74" spans="1:17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3"/>
        <v>0</v>
      </c>
      <c r="P74">
        <f t="shared" si="4"/>
        <v>0</v>
      </c>
      <c r="Q74">
        <f t="shared" si="5"/>
        <v>0</v>
      </c>
    </row>
    <row r="75" spans="1:17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3"/>
        <v>0</v>
      </c>
      <c r="P75">
        <f t="shared" si="4"/>
        <v>0</v>
      </c>
      <c r="Q75">
        <f t="shared" si="5"/>
        <v>0</v>
      </c>
    </row>
    <row r="76" spans="1:17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3"/>
        <v>0</v>
      </c>
      <c r="P76">
        <f t="shared" si="4"/>
        <v>0</v>
      </c>
      <c r="Q76">
        <f t="shared" si="5"/>
        <v>0</v>
      </c>
    </row>
    <row r="77" spans="1:17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3"/>
        <v>0</v>
      </c>
      <c r="P78">
        <f t="shared" si="4"/>
        <v>1</v>
      </c>
      <c r="Q78">
        <f t="shared" si="5"/>
        <v>0</v>
      </c>
    </row>
    <row r="79" spans="1:17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3"/>
        <v>0</v>
      </c>
      <c r="P79">
        <f t="shared" si="4"/>
        <v>1</v>
      </c>
      <c r="Q79">
        <f t="shared" si="5"/>
        <v>0</v>
      </c>
    </row>
    <row r="80" spans="1:17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3"/>
        <v>0</v>
      </c>
      <c r="P81">
        <f t="shared" si="4"/>
        <v>1</v>
      </c>
      <c r="Q81">
        <f t="shared" si="5"/>
        <v>0</v>
      </c>
    </row>
    <row r="82" spans="1:17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3"/>
        <v>0</v>
      </c>
      <c r="P83">
        <f t="shared" si="4"/>
        <v>0</v>
      </c>
      <c r="Q83">
        <f t="shared" si="5"/>
        <v>1</v>
      </c>
    </row>
    <row r="84" spans="1:17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3"/>
        <v>0</v>
      </c>
      <c r="P84">
        <f t="shared" si="4"/>
        <v>0</v>
      </c>
      <c r="Q84">
        <f t="shared" si="5"/>
        <v>1</v>
      </c>
    </row>
    <row r="85" spans="1:17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3"/>
        <v>0</v>
      </c>
      <c r="P86">
        <f t="shared" si="4"/>
        <v>0</v>
      </c>
      <c r="Q86">
        <f t="shared" si="5"/>
        <v>1</v>
      </c>
    </row>
    <row r="87" spans="1:17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O87">
        <f t="shared" si="3"/>
        <v>0</v>
      </c>
      <c r="P87">
        <f t="shared" si="4"/>
        <v>0</v>
      </c>
      <c r="Q87">
        <f t="shared" si="5"/>
        <v>1</v>
      </c>
    </row>
    <row r="88" spans="1:17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3"/>
        <v>0</v>
      </c>
      <c r="P88">
        <f t="shared" si="4"/>
        <v>0</v>
      </c>
      <c r="Q88">
        <f t="shared" si="5"/>
        <v>1</v>
      </c>
    </row>
    <row r="89" spans="1:17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3"/>
        <v>0</v>
      </c>
      <c r="P89">
        <f t="shared" si="4"/>
        <v>0</v>
      </c>
      <c r="Q89">
        <f t="shared" si="5"/>
        <v>1</v>
      </c>
    </row>
    <row r="90" spans="1:17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3"/>
        <v>0</v>
      </c>
      <c r="P90">
        <f t="shared" si="4"/>
        <v>1</v>
      </c>
      <c r="Q90">
        <f t="shared" si="5"/>
        <v>0</v>
      </c>
    </row>
    <row r="91" spans="1:17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3"/>
        <v>0</v>
      </c>
      <c r="P91">
        <f t="shared" si="4"/>
        <v>1</v>
      </c>
      <c r="Q91">
        <f t="shared" si="5"/>
        <v>0</v>
      </c>
    </row>
    <row r="92" spans="1:17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3"/>
        <v>0</v>
      </c>
      <c r="P92">
        <f t="shared" si="4"/>
        <v>1</v>
      </c>
      <c r="Q92">
        <f t="shared" si="5"/>
        <v>0</v>
      </c>
    </row>
    <row r="93" spans="1:17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3"/>
        <v>0</v>
      </c>
      <c r="P93">
        <f t="shared" si="4"/>
        <v>1</v>
      </c>
      <c r="Q93">
        <f t="shared" si="5"/>
        <v>0</v>
      </c>
    </row>
    <row r="94" spans="1:17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3"/>
        <v>0</v>
      </c>
      <c r="P94">
        <f t="shared" si="4"/>
        <v>0</v>
      </c>
      <c r="Q94">
        <f t="shared" si="5"/>
        <v>1</v>
      </c>
    </row>
    <row r="95" spans="1:17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3"/>
        <v>0</v>
      </c>
      <c r="P96">
        <f t="shared" si="4"/>
        <v>0</v>
      </c>
      <c r="Q96">
        <f t="shared" si="5"/>
        <v>1</v>
      </c>
    </row>
    <row r="97" spans="1:17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3"/>
        <v>0</v>
      </c>
      <c r="P97">
        <f t="shared" si="4"/>
        <v>0</v>
      </c>
      <c r="Q97">
        <f t="shared" si="5"/>
        <v>1</v>
      </c>
    </row>
    <row r="98" spans="1:17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3"/>
        <v>0</v>
      </c>
      <c r="P99">
        <f t="shared" si="4"/>
        <v>0</v>
      </c>
      <c r="Q99">
        <f t="shared" si="5"/>
        <v>1</v>
      </c>
    </row>
    <row r="100" spans="1:17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>
        <f t="shared" si="3"/>
        <v>0</v>
      </c>
      <c r="P100">
        <f t="shared" si="4"/>
        <v>0</v>
      </c>
      <c r="Q100">
        <f t="shared" si="5"/>
        <v>1</v>
      </c>
    </row>
    <row r="101" spans="1:17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3"/>
        <v>0</v>
      </c>
      <c r="P101">
        <f t="shared" si="4"/>
        <v>0</v>
      </c>
      <c r="Q101">
        <f t="shared" si="5"/>
        <v>1</v>
      </c>
    </row>
    <row r="102" spans="1:17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3"/>
        <v>0</v>
      </c>
      <c r="P102">
        <f t="shared" si="4"/>
        <v>0</v>
      </c>
      <c r="Q102">
        <f t="shared" si="5"/>
        <v>0</v>
      </c>
    </row>
    <row r="103" spans="1:17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3"/>
        <v>0</v>
      </c>
      <c r="P103">
        <f t="shared" si="4"/>
        <v>0</v>
      </c>
      <c r="Q103">
        <f t="shared" si="5"/>
        <v>0</v>
      </c>
    </row>
    <row r="104" spans="1:17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3"/>
        <v>0</v>
      </c>
      <c r="P104">
        <f t="shared" si="4"/>
        <v>0</v>
      </c>
      <c r="Q104">
        <f t="shared" si="5"/>
        <v>0</v>
      </c>
    </row>
    <row r="105" spans="1:17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3"/>
        <v>0</v>
      </c>
      <c r="P105">
        <f t="shared" si="4"/>
        <v>0</v>
      </c>
      <c r="Q105">
        <f t="shared" si="5"/>
        <v>0</v>
      </c>
    </row>
    <row r="106" spans="1:17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3"/>
        <v>0</v>
      </c>
      <c r="P106">
        <f t="shared" si="4"/>
        <v>0</v>
      </c>
      <c r="Q106">
        <f t="shared" si="5"/>
        <v>1</v>
      </c>
    </row>
    <row r="107" spans="1:17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3"/>
        <v>0</v>
      </c>
      <c r="P107">
        <f t="shared" si="4"/>
        <v>0</v>
      </c>
      <c r="Q107">
        <f t="shared" si="5"/>
        <v>1</v>
      </c>
    </row>
    <row r="108" spans="1:17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3"/>
        <v>0</v>
      </c>
      <c r="P108">
        <f t="shared" si="4"/>
        <v>0</v>
      </c>
      <c r="Q108">
        <f t="shared" si="5"/>
        <v>1</v>
      </c>
    </row>
    <row r="109" spans="1:17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3"/>
        <v>0</v>
      </c>
      <c r="P109">
        <f t="shared" si="4"/>
        <v>0</v>
      </c>
      <c r="Q109">
        <f t="shared" si="5"/>
        <v>1</v>
      </c>
    </row>
    <row r="110" spans="1:17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3"/>
        <v>0</v>
      </c>
      <c r="P110">
        <f t="shared" si="4"/>
        <v>0</v>
      </c>
      <c r="Q110">
        <f t="shared" si="5"/>
        <v>0</v>
      </c>
    </row>
    <row r="111" spans="1:17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3"/>
        <v>0</v>
      </c>
      <c r="P111">
        <f t="shared" si="4"/>
        <v>0</v>
      </c>
      <c r="Q111">
        <f t="shared" si="5"/>
        <v>0</v>
      </c>
    </row>
    <row r="112" spans="1:17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3"/>
        <v>0</v>
      </c>
      <c r="P112">
        <f t="shared" si="4"/>
        <v>0</v>
      </c>
      <c r="Q112">
        <f t="shared" si="5"/>
        <v>0</v>
      </c>
    </row>
    <row r="113" spans="1:17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3"/>
        <v>0</v>
      </c>
      <c r="P113">
        <f t="shared" si="4"/>
        <v>0</v>
      </c>
      <c r="Q113">
        <f t="shared" si="5"/>
        <v>0</v>
      </c>
    </row>
    <row r="114" spans="1:17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3"/>
        <v>0</v>
      </c>
      <c r="P114">
        <f t="shared" si="4"/>
        <v>0</v>
      </c>
      <c r="Q114">
        <f t="shared" si="5"/>
        <v>1</v>
      </c>
    </row>
    <row r="115" spans="1:17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3"/>
        <v>0</v>
      </c>
      <c r="P115">
        <f t="shared" si="4"/>
        <v>0</v>
      </c>
      <c r="Q115">
        <f t="shared" si="5"/>
        <v>1</v>
      </c>
    </row>
    <row r="116" spans="1:17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3"/>
        <v>0</v>
      </c>
      <c r="P116">
        <f t="shared" si="4"/>
        <v>0</v>
      </c>
      <c r="Q116">
        <f t="shared" si="5"/>
        <v>1</v>
      </c>
    </row>
    <row r="117" spans="1:17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3"/>
        <v>0</v>
      </c>
      <c r="P117">
        <f t="shared" si="4"/>
        <v>0</v>
      </c>
      <c r="Q117">
        <f t="shared" si="5"/>
        <v>1</v>
      </c>
    </row>
    <row r="118" spans="1:17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3"/>
        <v>0</v>
      </c>
      <c r="P120">
        <f t="shared" si="4"/>
        <v>0</v>
      </c>
      <c r="Q120">
        <f t="shared" si="5"/>
        <v>1</v>
      </c>
    </row>
    <row r="121" spans="1:17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3"/>
        <v>0</v>
      </c>
      <c r="P121">
        <f t="shared" si="4"/>
        <v>0</v>
      </c>
      <c r="Q121">
        <f t="shared" si="5"/>
        <v>1</v>
      </c>
    </row>
    <row r="122" spans="1:17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3"/>
        <v>1</v>
      </c>
      <c r="P122">
        <f t="shared" si="4"/>
        <v>0</v>
      </c>
      <c r="Q122">
        <f t="shared" si="5"/>
        <v>0</v>
      </c>
    </row>
    <row r="123" spans="1:17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3"/>
        <v>1</v>
      </c>
      <c r="P123">
        <f t="shared" si="4"/>
        <v>0</v>
      </c>
      <c r="Q123">
        <f t="shared" si="5"/>
        <v>0</v>
      </c>
    </row>
    <row r="124" spans="1:17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3"/>
        <v>1</v>
      </c>
      <c r="P124">
        <f t="shared" si="4"/>
        <v>0</v>
      </c>
      <c r="Q124">
        <f t="shared" si="5"/>
        <v>0</v>
      </c>
    </row>
    <row r="125" spans="1:17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3"/>
        <v>1</v>
      </c>
      <c r="P125">
        <f t="shared" si="4"/>
        <v>0</v>
      </c>
      <c r="Q125">
        <f t="shared" si="5"/>
        <v>0</v>
      </c>
    </row>
    <row r="126" spans="1:17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3"/>
        <v>0</v>
      </c>
      <c r="P126">
        <f t="shared" si="4"/>
        <v>1</v>
      </c>
      <c r="Q126">
        <f t="shared" si="5"/>
        <v>0</v>
      </c>
    </row>
    <row r="127" spans="1:17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3"/>
        <v>0</v>
      </c>
      <c r="P127">
        <f t="shared" si="4"/>
        <v>1</v>
      </c>
      <c r="Q127">
        <f t="shared" si="5"/>
        <v>0</v>
      </c>
    </row>
    <row r="128" spans="1:17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3"/>
        <v>0</v>
      </c>
      <c r="P128">
        <f t="shared" si="4"/>
        <v>1</v>
      </c>
      <c r="Q128">
        <f t="shared" si="5"/>
        <v>0</v>
      </c>
    </row>
    <row r="129" spans="1:17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3"/>
        <v>0</v>
      </c>
      <c r="P129">
        <f t="shared" si="4"/>
        <v>1</v>
      </c>
      <c r="Q129">
        <f t="shared" si="5"/>
        <v>0</v>
      </c>
    </row>
    <row r="130" spans="1:17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3"/>
        <v>0</v>
      </c>
      <c r="P130">
        <f t="shared" si="4"/>
        <v>0</v>
      </c>
      <c r="Q130">
        <f t="shared" si="5"/>
        <v>0</v>
      </c>
    </row>
    <row r="131" spans="1:17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6">IF(C131="North",1,0)</f>
        <v>0</v>
      </c>
      <c r="P131">
        <f t="shared" ref="P131:P194" si="7">IF(C131="South",1,0)</f>
        <v>0</v>
      </c>
      <c r="Q131">
        <f t="shared" ref="Q131:Q194" si="8">IF(C131="West",1,0)</f>
        <v>0</v>
      </c>
    </row>
    <row r="132" spans="1:17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6"/>
        <v>0</v>
      </c>
      <c r="P132">
        <f t="shared" si="7"/>
        <v>0</v>
      </c>
      <c r="Q132">
        <f t="shared" si="8"/>
        <v>0</v>
      </c>
    </row>
    <row r="133" spans="1:17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6"/>
        <v>0</v>
      </c>
      <c r="P133">
        <f t="shared" si="7"/>
        <v>0</v>
      </c>
      <c r="Q133">
        <f t="shared" si="8"/>
        <v>0</v>
      </c>
    </row>
    <row r="134" spans="1:17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6"/>
        <v>1</v>
      </c>
      <c r="P134">
        <f t="shared" si="7"/>
        <v>0</v>
      </c>
      <c r="Q134">
        <f t="shared" si="8"/>
        <v>0</v>
      </c>
    </row>
    <row r="135" spans="1:17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O135">
        <f t="shared" si="6"/>
        <v>1</v>
      </c>
      <c r="P135">
        <f t="shared" si="7"/>
        <v>0</v>
      </c>
      <c r="Q135">
        <f t="shared" si="8"/>
        <v>0</v>
      </c>
    </row>
    <row r="136" spans="1:17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6"/>
        <v>1</v>
      </c>
      <c r="P136">
        <f t="shared" si="7"/>
        <v>0</v>
      </c>
      <c r="Q136">
        <f t="shared" si="8"/>
        <v>0</v>
      </c>
    </row>
    <row r="137" spans="1:17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6"/>
        <v>1</v>
      </c>
      <c r="P137">
        <f t="shared" si="7"/>
        <v>0</v>
      </c>
      <c r="Q137">
        <f t="shared" si="8"/>
        <v>0</v>
      </c>
    </row>
    <row r="138" spans="1:17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O138">
        <f t="shared" si="6"/>
        <v>0</v>
      </c>
      <c r="P138">
        <f t="shared" si="7"/>
        <v>1</v>
      </c>
      <c r="Q138">
        <f t="shared" si="8"/>
        <v>0</v>
      </c>
    </row>
    <row r="139" spans="1:17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6"/>
        <v>0</v>
      </c>
      <c r="P139">
        <f t="shared" si="7"/>
        <v>1</v>
      </c>
      <c r="Q139">
        <f t="shared" si="8"/>
        <v>0</v>
      </c>
    </row>
    <row r="140" spans="1:17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6"/>
        <v>0</v>
      </c>
      <c r="P140">
        <f t="shared" si="7"/>
        <v>1</v>
      </c>
      <c r="Q140">
        <f t="shared" si="8"/>
        <v>0</v>
      </c>
    </row>
    <row r="141" spans="1:17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6"/>
        <v>0</v>
      </c>
      <c r="P141">
        <f t="shared" si="7"/>
        <v>1</v>
      </c>
      <c r="Q141">
        <f t="shared" si="8"/>
        <v>0</v>
      </c>
    </row>
    <row r="142" spans="1:17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6"/>
        <v>0</v>
      </c>
      <c r="P142">
        <f t="shared" si="7"/>
        <v>0</v>
      </c>
      <c r="Q142">
        <f t="shared" si="8"/>
        <v>1</v>
      </c>
    </row>
    <row r="143" spans="1:17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6"/>
        <v>0</v>
      </c>
      <c r="P143">
        <f t="shared" si="7"/>
        <v>0</v>
      </c>
      <c r="Q143">
        <f t="shared" si="8"/>
        <v>1</v>
      </c>
    </row>
    <row r="144" spans="1:17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6"/>
        <v>0</v>
      </c>
      <c r="P144">
        <f t="shared" si="7"/>
        <v>0</v>
      </c>
      <c r="Q144">
        <f t="shared" si="8"/>
        <v>1</v>
      </c>
    </row>
    <row r="145" spans="1:17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6"/>
        <v>0</v>
      </c>
      <c r="P145">
        <f t="shared" si="7"/>
        <v>0</v>
      </c>
      <c r="Q145">
        <f t="shared" si="8"/>
        <v>1</v>
      </c>
    </row>
    <row r="146" spans="1:17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6"/>
        <v>1</v>
      </c>
      <c r="P146">
        <f t="shared" si="7"/>
        <v>0</v>
      </c>
      <c r="Q146">
        <f t="shared" si="8"/>
        <v>0</v>
      </c>
    </row>
    <row r="147" spans="1:17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6"/>
        <v>1</v>
      </c>
      <c r="P147">
        <f t="shared" si="7"/>
        <v>0</v>
      </c>
      <c r="Q147">
        <f t="shared" si="8"/>
        <v>0</v>
      </c>
    </row>
    <row r="148" spans="1:17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6"/>
        <v>1</v>
      </c>
      <c r="P148">
        <f t="shared" si="7"/>
        <v>0</v>
      </c>
      <c r="Q148">
        <f t="shared" si="8"/>
        <v>0</v>
      </c>
    </row>
    <row r="149" spans="1:17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6"/>
        <v>1</v>
      </c>
      <c r="P149">
        <f t="shared" si="7"/>
        <v>0</v>
      </c>
      <c r="Q149">
        <f t="shared" si="8"/>
        <v>0</v>
      </c>
    </row>
    <row r="150" spans="1:17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6"/>
        <v>0</v>
      </c>
      <c r="P150">
        <f t="shared" si="7"/>
        <v>1</v>
      </c>
      <c r="Q150">
        <f t="shared" si="8"/>
        <v>0</v>
      </c>
    </row>
    <row r="151" spans="1:17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6"/>
        <v>0</v>
      </c>
      <c r="P151">
        <f t="shared" si="7"/>
        <v>1</v>
      </c>
      <c r="Q151">
        <f t="shared" si="8"/>
        <v>0</v>
      </c>
    </row>
    <row r="152" spans="1:17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6"/>
        <v>0</v>
      </c>
      <c r="P152">
        <f t="shared" si="7"/>
        <v>1</v>
      </c>
      <c r="Q152">
        <f t="shared" si="8"/>
        <v>0</v>
      </c>
    </row>
    <row r="153" spans="1:17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6"/>
        <v>0</v>
      </c>
      <c r="P153">
        <f t="shared" si="7"/>
        <v>1</v>
      </c>
      <c r="Q153">
        <f t="shared" si="8"/>
        <v>0</v>
      </c>
    </row>
    <row r="154" spans="1:17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6"/>
        <v>0</v>
      </c>
      <c r="P154">
        <f t="shared" si="7"/>
        <v>0</v>
      </c>
      <c r="Q154">
        <f t="shared" si="8"/>
        <v>0</v>
      </c>
    </row>
    <row r="155" spans="1:17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6"/>
        <v>0</v>
      </c>
      <c r="P155">
        <f t="shared" si="7"/>
        <v>0</v>
      </c>
      <c r="Q155">
        <f t="shared" si="8"/>
        <v>0</v>
      </c>
    </row>
    <row r="156" spans="1:17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6"/>
        <v>0</v>
      </c>
      <c r="P156">
        <f t="shared" si="7"/>
        <v>0</v>
      </c>
      <c r="Q156">
        <f t="shared" si="8"/>
        <v>0</v>
      </c>
    </row>
    <row r="157" spans="1:17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6"/>
        <v>0</v>
      </c>
      <c r="P157">
        <f t="shared" si="7"/>
        <v>0</v>
      </c>
      <c r="Q157">
        <f t="shared" si="8"/>
        <v>0</v>
      </c>
    </row>
    <row r="158" spans="1:17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6"/>
        <v>1</v>
      </c>
      <c r="P158">
        <f t="shared" si="7"/>
        <v>0</v>
      </c>
      <c r="Q158">
        <f t="shared" si="8"/>
        <v>0</v>
      </c>
    </row>
    <row r="159" spans="1:17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6"/>
        <v>1</v>
      </c>
      <c r="P159">
        <f t="shared" si="7"/>
        <v>0</v>
      </c>
      <c r="Q159">
        <f t="shared" si="8"/>
        <v>0</v>
      </c>
    </row>
    <row r="160" spans="1:17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6"/>
        <v>1</v>
      </c>
      <c r="P160">
        <f t="shared" si="7"/>
        <v>0</v>
      </c>
      <c r="Q160">
        <f t="shared" si="8"/>
        <v>0</v>
      </c>
    </row>
    <row r="161" spans="1:17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6"/>
        <v>1</v>
      </c>
      <c r="P161">
        <f t="shared" si="7"/>
        <v>0</v>
      </c>
      <c r="Q161">
        <f t="shared" si="8"/>
        <v>0</v>
      </c>
    </row>
    <row r="162" spans="1:17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6"/>
        <v>0</v>
      </c>
      <c r="P162">
        <f t="shared" si="7"/>
        <v>1</v>
      </c>
      <c r="Q162">
        <f t="shared" si="8"/>
        <v>0</v>
      </c>
    </row>
    <row r="163" spans="1:17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6"/>
        <v>0</v>
      </c>
      <c r="P163">
        <f t="shared" si="7"/>
        <v>1</v>
      </c>
      <c r="Q163">
        <f t="shared" si="8"/>
        <v>0</v>
      </c>
    </row>
    <row r="164" spans="1:17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>
        <f t="shared" si="6"/>
        <v>0</v>
      </c>
      <c r="P164">
        <f t="shared" si="7"/>
        <v>1</v>
      </c>
      <c r="Q164">
        <f t="shared" si="8"/>
        <v>0</v>
      </c>
    </row>
    <row r="165" spans="1:17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6"/>
        <v>0</v>
      </c>
      <c r="P165">
        <f t="shared" si="7"/>
        <v>1</v>
      </c>
      <c r="Q165">
        <f t="shared" si="8"/>
        <v>0</v>
      </c>
    </row>
    <row r="166" spans="1:17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6"/>
        <v>1</v>
      </c>
      <c r="P166">
        <f t="shared" si="7"/>
        <v>0</v>
      </c>
      <c r="Q166">
        <f t="shared" si="8"/>
        <v>0</v>
      </c>
    </row>
    <row r="167" spans="1:17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6"/>
        <v>1</v>
      </c>
      <c r="P167">
        <f t="shared" si="7"/>
        <v>0</v>
      </c>
      <c r="Q167">
        <f t="shared" si="8"/>
        <v>0</v>
      </c>
    </row>
    <row r="168" spans="1:17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6"/>
        <v>1</v>
      </c>
      <c r="P168">
        <f t="shared" si="7"/>
        <v>0</v>
      </c>
      <c r="Q168">
        <f t="shared" si="8"/>
        <v>0</v>
      </c>
    </row>
    <row r="169" spans="1:17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6"/>
        <v>1</v>
      </c>
      <c r="P169">
        <f t="shared" si="7"/>
        <v>0</v>
      </c>
      <c r="Q169">
        <f t="shared" si="8"/>
        <v>0</v>
      </c>
    </row>
    <row r="170" spans="1:17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6"/>
        <v>0</v>
      </c>
      <c r="P171">
        <f t="shared" si="7"/>
        <v>0</v>
      </c>
      <c r="Q171">
        <f t="shared" si="8"/>
        <v>0</v>
      </c>
    </row>
    <row r="172" spans="1:17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6"/>
        <v>0</v>
      </c>
      <c r="P172">
        <f t="shared" si="7"/>
        <v>0</v>
      </c>
      <c r="Q172">
        <f t="shared" si="8"/>
        <v>0</v>
      </c>
    </row>
    <row r="173" spans="1:17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6"/>
        <v>0</v>
      </c>
      <c r="P173">
        <f t="shared" si="7"/>
        <v>0</v>
      </c>
      <c r="Q173">
        <f t="shared" si="8"/>
        <v>0</v>
      </c>
    </row>
    <row r="174" spans="1:17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6"/>
        <v>0</v>
      </c>
      <c r="P174">
        <f t="shared" si="7"/>
        <v>0</v>
      </c>
      <c r="Q174">
        <f t="shared" si="8"/>
        <v>0</v>
      </c>
    </row>
    <row r="175" spans="1:17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6"/>
        <v>0</v>
      </c>
      <c r="P176">
        <f t="shared" si="7"/>
        <v>0</v>
      </c>
      <c r="Q176">
        <f t="shared" si="8"/>
        <v>0</v>
      </c>
    </row>
    <row r="177" spans="1:17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6"/>
        <v>0</v>
      </c>
      <c r="P182">
        <f t="shared" si="7"/>
        <v>0</v>
      </c>
      <c r="Q182">
        <f t="shared" si="8"/>
        <v>1</v>
      </c>
    </row>
    <row r="183" spans="1:17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6"/>
        <v>0</v>
      </c>
      <c r="P183">
        <f t="shared" si="7"/>
        <v>0</v>
      </c>
      <c r="Q183">
        <f t="shared" si="8"/>
        <v>1</v>
      </c>
    </row>
    <row r="184" spans="1:17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6"/>
        <v>0</v>
      </c>
      <c r="P184">
        <f t="shared" si="7"/>
        <v>0</v>
      </c>
      <c r="Q184">
        <f t="shared" si="8"/>
        <v>1</v>
      </c>
    </row>
    <row r="185" spans="1:17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6"/>
        <v>1</v>
      </c>
      <c r="P186">
        <f t="shared" si="7"/>
        <v>0</v>
      </c>
      <c r="Q186">
        <f t="shared" si="8"/>
        <v>0</v>
      </c>
    </row>
    <row r="187" spans="1:17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6"/>
        <v>1</v>
      </c>
      <c r="P187">
        <f t="shared" si="7"/>
        <v>0</v>
      </c>
      <c r="Q187">
        <f t="shared" si="8"/>
        <v>0</v>
      </c>
    </row>
    <row r="188" spans="1:17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6"/>
        <v>1</v>
      </c>
      <c r="P188">
        <f t="shared" si="7"/>
        <v>0</v>
      </c>
      <c r="Q188">
        <f t="shared" si="8"/>
        <v>0</v>
      </c>
    </row>
    <row r="189" spans="1:17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6"/>
        <v>1</v>
      </c>
      <c r="P189">
        <f t="shared" si="7"/>
        <v>0</v>
      </c>
      <c r="Q189">
        <f t="shared" si="8"/>
        <v>0</v>
      </c>
    </row>
    <row r="190" spans="1:17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6"/>
        <v>0</v>
      </c>
      <c r="P190">
        <f t="shared" si="7"/>
        <v>0</v>
      </c>
      <c r="Q190">
        <f t="shared" si="8"/>
        <v>0</v>
      </c>
    </row>
    <row r="191" spans="1:17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6"/>
        <v>0</v>
      </c>
      <c r="P191">
        <f t="shared" si="7"/>
        <v>0</v>
      </c>
      <c r="Q191">
        <f t="shared" si="8"/>
        <v>0</v>
      </c>
    </row>
    <row r="192" spans="1:17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6"/>
        <v>0</v>
      </c>
      <c r="P192">
        <f t="shared" si="7"/>
        <v>0</v>
      </c>
      <c r="Q192">
        <f t="shared" si="8"/>
        <v>0</v>
      </c>
    </row>
    <row r="193" spans="1:17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6"/>
        <v>0</v>
      </c>
      <c r="P193">
        <f t="shared" si="7"/>
        <v>0</v>
      </c>
      <c r="Q193">
        <f t="shared" si="8"/>
        <v>0</v>
      </c>
    </row>
    <row r="194" spans="1:17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9">IF(C195="North",1,0)</f>
        <v>0</v>
      </c>
      <c r="P195">
        <f t="shared" ref="P195:P258" si="10">IF(C195="South",1,0)</f>
        <v>0</v>
      </c>
      <c r="Q195">
        <f t="shared" ref="Q195:Q258" si="11">IF(C195="West",1,0)</f>
        <v>1</v>
      </c>
    </row>
    <row r="196" spans="1:17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9"/>
        <v>1</v>
      </c>
      <c r="P198">
        <f t="shared" si="10"/>
        <v>0</v>
      </c>
      <c r="Q198">
        <f t="shared" si="11"/>
        <v>0</v>
      </c>
    </row>
    <row r="199" spans="1:17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9"/>
        <v>1</v>
      </c>
      <c r="P199">
        <f t="shared" si="10"/>
        <v>0</v>
      </c>
      <c r="Q199">
        <f t="shared" si="11"/>
        <v>0</v>
      </c>
    </row>
    <row r="200" spans="1:17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9"/>
        <v>1</v>
      </c>
      <c r="P200">
        <f t="shared" si="10"/>
        <v>0</v>
      </c>
      <c r="Q200">
        <f t="shared" si="11"/>
        <v>0</v>
      </c>
    </row>
    <row r="201" spans="1:17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9"/>
        <v>1</v>
      </c>
      <c r="P201">
        <f t="shared" si="10"/>
        <v>0</v>
      </c>
      <c r="Q201">
        <f t="shared" si="11"/>
        <v>0</v>
      </c>
    </row>
    <row r="202" spans="1:17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9"/>
        <v>0</v>
      </c>
      <c r="P202">
        <f t="shared" si="10"/>
        <v>0</v>
      </c>
      <c r="Q202">
        <f t="shared" si="11"/>
        <v>0</v>
      </c>
    </row>
    <row r="203" spans="1:17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9"/>
        <v>0</v>
      </c>
      <c r="P203">
        <f t="shared" si="10"/>
        <v>0</v>
      </c>
      <c r="Q203">
        <f t="shared" si="11"/>
        <v>0</v>
      </c>
    </row>
    <row r="204" spans="1:17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9"/>
        <v>0</v>
      </c>
      <c r="P204">
        <f t="shared" si="10"/>
        <v>0</v>
      </c>
      <c r="Q204">
        <f t="shared" si="11"/>
        <v>0</v>
      </c>
    </row>
    <row r="205" spans="1:17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9"/>
        <v>0</v>
      </c>
      <c r="P205">
        <f t="shared" si="10"/>
        <v>0</v>
      </c>
      <c r="Q205">
        <f t="shared" si="11"/>
        <v>0</v>
      </c>
    </row>
    <row r="206" spans="1:17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9"/>
        <v>0</v>
      </c>
      <c r="P206">
        <f t="shared" si="10"/>
        <v>0</v>
      </c>
      <c r="Q206">
        <f t="shared" si="11"/>
        <v>0</v>
      </c>
    </row>
    <row r="207" spans="1:17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9"/>
        <v>0</v>
      </c>
      <c r="P207">
        <f t="shared" si="10"/>
        <v>0</v>
      </c>
      <c r="Q207">
        <f t="shared" si="11"/>
        <v>0</v>
      </c>
    </row>
    <row r="208" spans="1:17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9"/>
        <v>0</v>
      </c>
      <c r="P208">
        <f t="shared" si="10"/>
        <v>0</v>
      </c>
      <c r="Q208">
        <f t="shared" si="11"/>
        <v>0</v>
      </c>
    </row>
    <row r="209" spans="1:17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9"/>
        <v>0</v>
      </c>
      <c r="P209">
        <f t="shared" si="10"/>
        <v>0</v>
      </c>
      <c r="Q209">
        <f t="shared" si="11"/>
        <v>0</v>
      </c>
    </row>
    <row r="210" spans="1:17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9"/>
        <v>0</v>
      </c>
      <c r="P210">
        <f t="shared" si="10"/>
        <v>0</v>
      </c>
      <c r="Q210">
        <f t="shared" si="11"/>
        <v>0</v>
      </c>
    </row>
    <row r="211" spans="1:17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9"/>
        <v>0</v>
      </c>
      <c r="P211">
        <f t="shared" si="10"/>
        <v>0</v>
      </c>
      <c r="Q211">
        <f t="shared" si="11"/>
        <v>0</v>
      </c>
    </row>
    <row r="212" spans="1:17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9"/>
        <v>0</v>
      </c>
      <c r="P212">
        <f t="shared" si="10"/>
        <v>0</v>
      </c>
      <c r="Q212">
        <f t="shared" si="11"/>
        <v>0</v>
      </c>
    </row>
    <row r="213" spans="1:17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9"/>
        <v>0</v>
      </c>
      <c r="P213">
        <f t="shared" si="10"/>
        <v>0</v>
      </c>
      <c r="Q213">
        <f t="shared" si="11"/>
        <v>0</v>
      </c>
    </row>
    <row r="214" spans="1:17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9"/>
        <v>0</v>
      </c>
      <c r="P214">
        <f t="shared" si="10"/>
        <v>0</v>
      </c>
      <c r="Q214">
        <f t="shared" si="11"/>
        <v>1</v>
      </c>
    </row>
    <row r="215" spans="1:17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9"/>
        <v>0</v>
      </c>
      <c r="P215">
        <f t="shared" si="10"/>
        <v>0</v>
      </c>
      <c r="Q215">
        <f t="shared" si="11"/>
        <v>1</v>
      </c>
    </row>
    <row r="216" spans="1:17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9"/>
        <v>0</v>
      </c>
      <c r="P216">
        <f t="shared" si="10"/>
        <v>0</v>
      </c>
      <c r="Q216">
        <f t="shared" si="11"/>
        <v>1</v>
      </c>
    </row>
    <row r="217" spans="1:17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9"/>
        <v>1</v>
      </c>
      <c r="P219">
        <f t="shared" si="10"/>
        <v>0</v>
      </c>
      <c r="Q219">
        <f t="shared" si="11"/>
        <v>0</v>
      </c>
    </row>
    <row r="220" spans="1:17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9"/>
        <v>1</v>
      </c>
      <c r="P220">
        <f t="shared" si="10"/>
        <v>0</v>
      </c>
      <c r="Q220">
        <f t="shared" si="11"/>
        <v>0</v>
      </c>
    </row>
    <row r="221" spans="1:17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9"/>
        <v>1</v>
      </c>
      <c r="P221">
        <f t="shared" si="10"/>
        <v>0</v>
      </c>
      <c r="Q221">
        <f t="shared" si="11"/>
        <v>0</v>
      </c>
    </row>
    <row r="222" spans="1:17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9"/>
        <v>0</v>
      </c>
      <c r="P222">
        <f t="shared" si="10"/>
        <v>0</v>
      </c>
      <c r="Q222">
        <f t="shared" si="11"/>
        <v>0</v>
      </c>
    </row>
    <row r="223" spans="1:17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9"/>
        <v>0</v>
      </c>
      <c r="P223">
        <f t="shared" si="10"/>
        <v>0</v>
      </c>
      <c r="Q223">
        <f t="shared" si="11"/>
        <v>0</v>
      </c>
    </row>
    <row r="224" spans="1:17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9"/>
        <v>0</v>
      </c>
      <c r="P224">
        <f t="shared" si="10"/>
        <v>0</v>
      </c>
      <c r="Q224">
        <f t="shared" si="11"/>
        <v>0</v>
      </c>
    </row>
    <row r="225" spans="1:17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9"/>
        <v>0</v>
      </c>
      <c r="P225">
        <f t="shared" si="10"/>
        <v>0</v>
      </c>
      <c r="Q225">
        <f t="shared" si="11"/>
        <v>0</v>
      </c>
    </row>
    <row r="226" spans="1:17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9"/>
        <v>0</v>
      </c>
      <c r="P226">
        <f t="shared" si="10"/>
        <v>0</v>
      </c>
      <c r="Q226">
        <f t="shared" si="11"/>
        <v>0</v>
      </c>
    </row>
    <row r="227" spans="1:17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9"/>
        <v>0</v>
      </c>
      <c r="P227">
        <f t="shared" si="10"/>
        <v>0</v>
      </c>
      <c r="Q227">
        <f t="shared" si="11"/>
        <v>0</v>
      </c>
    </row>
    <row r="228" spans="1:17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9"/>
        <v>0</v>
      </c>
      <c r="P228">
        <f t="shared" si="10"/>
        <v>0</v>
      </c>
      <c r="Q228">
        <f t="shared" si="11"/>
        <v>0</v>
      </c>
    </row>
    <row r="229" spans="1:17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O229">
        <f t="shared" si="9"/>
        <v>0</v>
      </c>
      <c r="P229">
        <f t="shared" si="10"/>
        <v>0</v>
      </c>
      <c r="Q229">
        <f t="shared" si="11"/>
        <v>0</v>
      </c>
    </row>
    <row r="230" spans="1:17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9"/>
        <v>0</v>
      </c>
      <c r="P230">
        <f t="shared" si="10"/>
        <v>0</v>
      </c>
      <c r="Q230">
        <f t="shared" si="11"/>
        <v>0</v>
      </c>
    </row>
    <row r="231" spans="1:17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9"/>
        <v>0</v>
      </c>
      <c r="P231">
        <f t="shared" si="10"/>
        <v>0</v>
      </c>
      <c r="Q231">
        <f t="shared" si="11"/>
        <v>0</v>
      </c>
    </row>
    <row r="232" spans="1:17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9"/>
        <v>0</v>
      </c>
      <c r="P232">
        <f t="shared" si="10"/>
        <v>0</v>
      </c>
      <c r="Q232">
        <f t="shared" si="11"/>
        <v>0</v>
      </c>
    </row>
    <row r="233" spans="1:17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>
        <f t="shared" si="9"/>
        <v>0</v>
      </c>
      <c r="P233">
        <f t="shared" si="10"/>
        <v>0</v>
      </c>
      <c r="Q233">
        <f t="shared" si="11"/>
        <v>0</v>
      </c>
    </row>
    <row r="234" spans="1:17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9"/>
        <v>0</v>
      </c>
      <c r="P236">
        <f t="shared" si="10"/>
        <v>0</v>
      </c>
      <c r="Q236">
        <f t="shared" si="11"/>
        <v>1</v>
      </c>
    </row>
    <row r="237" spans="1:17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9"/>
        <v>0</v>
      </c>
      <c r="P237">
        <f t="shared" si="10"/>
        <v>0</v>
      </c>
      <c r="Q237">
        <f t="shared" si="11"/>
        <v>1</v>
      </c>
    </row>
    <row r="238" spans="1:17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9"/>
        <v>0</v>
      </c>
      <c r="P238">
        <f t="shared" si="10"/>
        <v>0</v>
      </c>
      <c r="Q238">
        <f t="shared" si="11"/>
        <v>1</v>
      </c>
    </row>
    <row r="239" spans="1:17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9"/>
        <v>0</v>
      </c>
      <c r="P239">
        <f t="shared" si="10"/>
        <v>0</v>
      </c>
      <c r="Q239">
        <f t="shared" si="11"/>
        <v>1</v>
      </c>
    </row>
    <row r="240" spans="1:17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9"/>
        <v>0</v>
      </c>
      <c r="P240">
        <f t="shared" si="10"/>
        <v>0</v>
      </c>
      <c r="Q240">
        <f t="shared" si="11"/>
        <v>1</v>
      </c>
    </row>
    <row r="241" spans="1:17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9"/>
        <v>0</v>
      </c>
      <c r="P241">
        <f t="shared" si="10"/>
        <v>0</v>
      </c>
      <c r="Q241">
        <f t="shared" si="11"/>
        <v>1</v>
      </c>
    </row>
    <row r="242" spans="1:17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9"/>
        <v>0</v>
      </c>
      <c r="P242">
        <f t="shared" si="10"/>
        <v>1</v>
      </c>
      <c r="Q242">
        <f t="shared" si="11"/>
        <v>0</v>
      </c>
    </row>
    <row r="243" spans="1:17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9"/>
        <v>0</v>
      </c>
      <c r="P243">
        <f t="shared" si="10"/>
        <v>1</v>
      </c>
      <c r="Q243">
        <f t="shared" si="11"/>
        <v>0</v>
      </c>
    </row>
    <row r="244" spans="1:17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9"/>
        <v>0</v>
      </c>
      <c r="P244">
        <f t="shared" si="10"/>
        <v>1</v>
      </c>
      <c r="Q244">
        <f t="shared" si="11"/>
        <v>0</v>
      </c>
    </row>
    <row r="245" spans="1:17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9"/>
        <v>0</v>
      </c>
      <c r="P245">
        <f t="shared" si="10"/>
        <v>1</v>
      </c>
      <c r="Q245">
        <f t="shared" si="11"/>
        <v>0</v>
      </c>
    </row>
    <row r="246" spans="1:17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9"/>
        <v>0</v>
      </c>
      <c r="P246">
        <f t="shared" si="10"/>
        <v>0</v>
      </c>
      <c r="Q246">
        <f t="shared" si="11"/>
        <v>0</v>
      </c>
    </row>
    <row r="247" spans="1:17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9"/>
        <v>0</v>
      </c>
      <c r="P247">
        <f t="shared" si="10"/>
        <v>0</v>
      </c>
      <c r="Q247">
        <f t="shared" si="11"/>
        <v>0</v>
      </c>
    </row>
    <row r="248" spans="1:17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9"/>
        <v>0</v>
      </c>
      <c r="P248">
        <f t="shared" si="10"/>
        <v>0</v>
      </c>
      <c r="Q248">
        <f t="shared" si="11"/>
        <v>0</v>
      </c>
    </row>
    <row r="249" spans="1:17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9"/>
        <v>0</v>
      </c>
      <c r="P249">
        <f t="shared" si="10"/>
        <v>0</v>
      </c>
      <c r="Q249">
        <f t="shared" si="11"/>
        <v>0</v>
      </c>
    </row>
    <row r="250" spans="1:17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>
        <f t="shared" si="9"/>
        <v>1</v>
      </c>
      <c r="P250">
        <f t="shared" si="10"/>
        <v>0</v>
      </c>
      <c r="Q250">
        <f t="shared" si="11"/>
        <v>0</v>
      </c>
    </row>
    <row r="251" spans="1:17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9"/>
        <v>1</v>
      </c>
      <c r="P251">
        <f t="shared" si="10"/>
        <v>0</v>
      </c>
      <c r="Q251">
        <f t="shared" si="11"/>
        <v>0</v>
      </c>
    </row>
    <row r="252" spans="1:17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9"/>
        <v>1</v>
      </c>
      <c r="P252">
        <f t="shared" si="10"/>
        <v>0</v>
      </c>
      <c r="Q252">
        <f t="shared" si="11"/>
        <v>0</v>
      </c>
    </row>
    <row r="253" spans="1:17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9"/>
        <v>1</v>
      </c>
      <c r="P253">
        <f t="shared" si="10"/>
        <v>0</v>
      </c>
      <c r="Q253">
        <f t="shared" si="11"/>
        <v>0</v>
      </c>
    </row>
    <row r="254" spans="1:17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9"/>
        <v>0</v>
      </c>
      <c r="P254">
        <f t="shared" si="10"/>
        <v>1</v>
      </c>
      <c r="Q254">
        <f t="shared" si="11"/>
        <v>0</v>
      </c>
    </row>
    <row r="255" spans="1:17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9"/>
        <v>0</v>
      </c>
      <c r="P255">
        <f t="shared" si="10"/>
        <v>1</v>
      </c>
      <c r="Q255">
        <f t="shared" si="11"/>
        <v>0</v>
      </c>
    </row>
    <row r="256" spans="1:17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9"/>
        <v>0</v>
      </c>
      <c r="P256">
        <f t="shared" si="10"/>
        <v>1</v>
      </c>
      <c r="Q256">
        <f t="shared" si="11"/>
        <v>0</v>
      </c>
    </row>
    <row r="257" spans="1:17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9"/>
        <v>0</v>
      </c>
      <c r="P257">
        <f t="shared" si="10"/>
        <v>1</v>
      </c>
      <c r="Q257">
        <f t="shared" si="11"/>
        <v>0</v>
      </c>
    </row>
    <row r="258" spans="1:17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9"/>
        <v>0</v>
      </c>
      <c r="P258">
        <f t="shared" si="10"/>
        <v>1</v>
      </c>
      <c r="Q258">
        <f t="shared" si="11"/>
        <v>0</v>
      </c>
    </row>
    <row r="259" spans="1:17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12">IF(C259="North",1,0)</f>
        <v>0</v>
      </c>
      <c r="P259">
        <f t="shared" ref="P259:P321" si="13">IF(C259="South",1,0)</f>
        <v>1</v>
      </c>
      <c r="Q259">
        <f t="shared" ref="Q259:Q321" si="14">IF(C259="West",1,0)</f>
        <v>0</v>
      </c>
    </row>
    <row r="260" spans="1:17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12"/>
        <v>0</v>
      </c>
      <c r="P260">
        <f t="shared" si="13"/>
        <v>1</v>
      </c>
      <c r="Q260">
        <f t="shared" si="14"/>
        <v>0</v>
      </c>
    </row>
    <row r="261" spans="1:17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12"/>
        <v>0</v>
      </c>
      <c r="P261">
        <f t="shared" si="13"/>
        <v>1</v>
      </c>
      <c r="Q261">
        <f t="shared" si="14"/>
        <v>0</v>
      </c>
    </row>
    <row r="262" spans="1:17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12"/>
        <v>0</v>
      </c>
      <c r="P262">
        <f t="shared" si="13"/>
        <v>0</v>
      </c>
      <c r="Q262">
        <f t="shared" si="14"/>
        <v>1</v>
      </c>
    </row>
    <row r="263" spans="1:17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>
        <f t="shared" si="12"/>
        <v>0</v>
      </c>
      <c r="P263">
        <f t="shared" si="13"/>
        <v>0</v>
      </c>
      <c r="Q263">
        <f t="shared" si="14"/>
        <v>1</v>
      </c>
    </row>
    <row r="264" spans="1:17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12"/>
        <v>0</v>
      </c>
      <c r="P264">
        <f t="shared" si="13"/>
        <v>0</v>
      </c>
      <c r="Q264">
        <f t="shared" si="14"/>
        <v>1</v>
      </c>
    </row>
    <row r="265" spans="1:17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12"/>
        <v>0</v>
      </c>
      <c r="P265">
        <f t="shared" si="13"/>
        <v>0</v>
      </c>
      <c r="Q265">
        <f t="shared" si="14"/>
        <v>1</v>
      </c>
    </row>
    <row r="266" spans="1:17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12"/>
        <v>0</v>
      </c>
      <c r="P266">
        <f t="shared" si="13"/>
        <v>0</v>
      </c>
      <c r="Q266">
        <f t="shared" si="14"/>
        <v>0</v>
      </c>
    </row>
    <row r="267" spans="1:17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12"/>
        <v>0</v>
      </c>
      <c r="P267">
        <f t="shared" si="13"/>
        <v>0</v>
      </c>
      <c r="Q267">
        <f t="shared" si="14"/>
        <v>0</v>
      </c>
    </row>
    <row r="268" spans="1:17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12"/>
        <v>0</v>
      </c>
      <c r="P268">
        <f t="shared" si="13"/>
        <v>0</v>
      </c>
      <c r="Q268">
        <f t="shared" si="14"/>
        <v>0</v>
      </c>
    </row>
    <row r="269" spans="1:17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12"/>
        <v>0</v>
      </c>
      <c r="P269">
        <f t="shared" si="13"/>
        <v>0</v>
      </c>
      <c r="Q269">
        <f t="shared" si="14"/>
        <v>0</v>
      </c>
    </row>
    <row r="270" spans="1:17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12"/>
        <v>0</v>
      </c>
      <c r="P270">
        <f t="shared" si="13"/>
        <v>0</v>
      </c>
      <c r="Q270">
        <f t="shared" si="14"/>
        <v>0</v>
      </c>
    </row>
    <row r="271" spans="1:17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12"/>
        <v>0</v>
      </c>
      <c r="P271">
        <f t="shared" si="13"/>
        <v>0</v>
      </c>
      <c r="Q271">
        <f t="shared" si="14"/>
        <v>0</v>
      </c>
    </row>
    <row r="272" spans="1:17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12"/>
        <v>0</v>
      </c>
      <c r="P272">
        <f t="shared" si="13"/>
        <v>0</v>
      </c>
      <c r="Q272">
        <f t="shared" si="14"/>
        <v>0</v>
      </c>
    </row>
    <row r="273" spans="1:17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12"/>
        <v>0</v>
      </c>
      <c r="P273">
        <f t="shared" si="13"/>
        <v>0</v>
      </c>
      <c r="Q273">
        <f t="shared" si="14"/>
        <v>0</v>
      </c>
    </row>
    <row r="274" spans="1:17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12"/>
        <v>0</v>
      </c>
      <c r="P274">
        <f t="shared" si="13"/>
        <v>0</v>
      </c>
      <c r="Q274">
        <f t="shared" si="14"/>
        <v>1</v>
      </c>
    </row>
    <row r="275" spans="1:17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12"/>
        <v>0</v>
      </c>
      <c r="P275">
        <f t="shared" si="13"/>
        <v>0</v>
      </c>
      <c r="Q275">
        <f t="shared" si="14"/>
        <v>1</v>
      </c>
    </row>
    <row r="276" spans="1:17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12"/>
        <v>0</v>
      </c>
      <c r="P276">
        <f t="shared" si="13"/>
        <v>0</v>
      </c>
      <c r="Q276">
        <f t="shared" si="14"/>
        <v>1</v>
      </c>
    </row>
    <row r="277" spans="1:17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12"/>
        <v>0</v>
      </c>
      <c r="P277">
        <f t="shared" si="13"/>
        <v>0</v>
      </c>
      <c r="Q277">
        <f t="shared" si="14"/>
        <v>1</v>
      </c>
    </row>
    <row r="278" spans="1:17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12"/>
        <v>0</v>
      </c>
      <c r="P278">
        <f t="shared" si="13"/>
        <v>1</v>
      </c>
      <c r="Q278">
        <f t="shared" si="14"/>
        <v>0</v>
      </c>
    </row>
    <row r="279" spans="1:17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12"/>
        <v>0</v>
      </c>
      <c r="P279">
        <f t="shared" si="13"/>
        <v>1</v>
      </c>
      <c r="Q279">
        <f t="shared" si="14"/>
        <v>0</v>
      </c>
    </row>
    <row r="280" spans="1:17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12"/>
        <v>0</v>
      </c>
      <c r="P280">
        <f t="shared" si="13"/>
        <v>1</v>
      </c>
      <c r="Q280">
        <f t="shared" si="14"/>
        <v>0</v>
      </c>
    </row>
    <row r="281" spans="1:17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12"/>
        <v>0</v>
      </c>
      <c r="P281">
        <f t="shared" si="13"/>
        <v>1</v>
      </c>
      <c r="Q281">
        <f t="shared" si="14"/>
        <v>0</v>
      </c>
    </row>
    <row r="282" spans="1:17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12"/>
        <v>0</v>
      </c>
      <c r="P284">
        <f t="shared" si="13"/>
        <v>1</v>
      </c>
      <c r="Q284">
        <f t="shared" si="14"/>
        <v>0</v>
      </c>
    </row>
    <row r="285" spans="1:17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12"/>
        <v>0</v>
      </c>
      <c r="P285">
        <f t="shared" si="13"/>
        <v>1</v>
      </c>
      <c r="Q285">
        <f t="shared" si="14"/>
        <v>0</v>
      </c>
    </row>
    <row r="286" spans="1:17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12"/>
        <v>0</v>
      </c>
      <c r="P286">
        <f t="shared" si="13"/>
        <v>0</v>
      </c>
      <c r="Q286">
        <f t="shared" si="14"/>
        <v>1</v>
      </c>
    </row>
    <row r="287" spans="1:17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12"/>
        <v>0</v>
      </c>
      <c r="P287">
        <f t="shared" si="13"/>
        <v>0</v>
      </c>
      <c r="Q287">
        <f t="shared" si="14"/>
        <v>1</v>
      </c>
    </row>
    <row r="288" spans="1:17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12"/>
        <v>0</v>
      </c>
      <c r="P288">
        <f t="shared" si="13"/>
        <v>0</v>
      </c>
      <c r="Q288">
        <f t="shared" si="14"/>
        <v>1</v>
      </c>
    </row>
    <row r="289" spans="1:17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12"/>
        <v>0</v>
      </c>
      <c r="P289">
        <f t="shared" si="13"/>
        <v>0</v>
      </c>
      <c r="Q289">
        <f t="shared" si="14"/>
        <v>1</v>
      </c>
    </row>
    <row r="290" spans="1:17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12"/>
        <v>0</v>
      </c>
      <c r="P291">
        <f t="shared" si="13"/>
        <v>0</v>
      </c>
      <c r="Q291">
        <f t="shared" si="14"/>
        <v>0</v>
      </c>
    </row>
    <row r="292" spans="1:17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12"/>
        <v>0</v>
      </c>
      <c r="P293">
        <f t="shared" si="13"/>
        <v>0</v>
      </c>
      <c r="Q293">
        <f t="shared" si="14"/>
        <v>0</v>
      </c>
    </row>
    <row r="294" spans="1:17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12"/>
        <v>0</v>
      </c>
      <c r="P294">
        <f t="shared" si="13"/>
        <v>0</v>
      </c>
      <c r="Q294">
        <f t="shared" si="14"/>
        <v>1</v>
      </c>
    </row>
    <row r="295" spans="1:17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12"/>
        <v>0</v>
      </c>
      <c r="P295">
        <f t="shared" si="13"/>
        <v>0</v>
      </c>
      <c r="Q295">
        <f t="shared" si="14"/>
        <v>1</v>
      </c>
    </row>
    <row r="296" spans="1:17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12"/>
        <v>0</v>
      </c>
      <c r="P297">
        <f t="shared" si="13"/>
        <v>0</v>
      </c>
      <c r="Q297">
        <f t="shared" si="14"/>
        <v>1</v>
      </c>
    </row>
    <row r="298" spans="1:17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12"/>
        <v>0</v>
      </c>
      <c r="P300">
        <f t="shared" si="13"/>
        <v>0</v>
      </c>
      <c r="Q300">
        <f t="shared" si="14"/>
        <v>1</v>
      </c>
    </row>
    <row r="301" spans="1:17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12"/>
        <v>1</v>
      </c>
      <c r="P302">
        <f t="shared" si="13"/>
        <v>0</v>
      </c>
      <c r="Q302">
        <f t="shared" si="14"/>
        <v>0</v>
      </c>
    </row>
    <row r="303" spans="1:17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12"/>
        <v>1</v>
      </c>
      <c r="P303">
        <f t="shared" si="13"/>
        <v>0</v>
      </c>
      <c r="Q303">
        <f t="shared" si="14"/>
        <v>0</v>
      </c>
    </row>
    <row r="304" spans="1:17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12"/>
        <v>1</v>
      </c>
      <c r="P304">
        <f t="shared" si="13"/>
        <v>0</v>
      </c>
      <c r="Q304">
        <f t="shared" si="14"/>
        <v>0</v>
      </c>
    </row>
    <row r="305" spans="1:17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12"/>
        <v>1</v>
      </c>
      <c r="P305">
        <f t="shared" si="13"/>
        <v>0</v>
      </c>
      <c r="Q305">
        <f t="shared" si="14"/>
        <v>0</v>
      </c>
    </row>
    <row r="306" spans="1:17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12"/>
        <v>0</v>
      </c>
      <c r="P306">
        <f t="shared" si="13"/>
        <v>1</v>
      </c>
      <c r="Q306">
        <f t="shared" si="14"/>
        <v>0</v>
      </c>
    </row>
    <row r="307" spans="1:17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12"/>
        <v>0</v>
      </c>
      <c r="P307">
        <f t="shared" si="13"/>
        <v>1</v>
      </c>
      <c r="Q307">
        <f t="shared" si="14"/>
        <v>0</v>
      </c>
    </row>
    <row r="308" spans="1:17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12"/>
        <v>0</v>
      </c>
      <c r="P308">
        <f t="shared" si="13"/>
        <v>1</v>
      </c>
      <c r="Q308">
        <f t="shared" si="14"/>
        <v>0</v>
      </c>
    </row>
    <row r="309" spans="1:17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12"/>
        <v>0</v>
      </c>
      <c r="P309">
        <f t="shared" si="13"/>
        <v>1</v>
      </c>
      <c r="Q309">
        <f t="shared" si="14"/>
        <v>0</v>
      </c>
    </row>
    <row r="310" spans="1:17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12"/>
        <v>0</v>
      </c>
      <c r="P310">
        <f t="shared" si="13"/>
        <v>1</v>
      </c>
      <c r="Q310">
        <f t="shared" si="14"/>
        <v>0</v>
      </c>
    </row>
    <row r="311" spans="1:17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12"/>
        <v>0</v>
      </c>
      <c r="P311">
        <f t="shared" si="13"/>
        <v>1</v>
      </c>
      <c r="Q311">
        <f>IF(C311="West",1,0)</f>
        <v>0</v>
      </c>
    </row>
    <row r="312" spans="1:17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12"/>
        <v>0</v>
      </c>
      <c r="P312">
        <f t="shared" si="13"/>
        <v>1</v>
      </c>
      <c r="Q312">
        <f t="shared" si="14"/>
        <v>0</v>
      </c>
    </row>
    <row r="313" spans="1:17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O313">
        <f t="shared" si="12"/>
        <v>0</v>
      </c>
      <c r="P313">
        <f t="shared" si="13"/>
        <v>1</v>
      </c>
      <c r="Q313">
        <f t="shared" si="14"/>
        <v>0</v>
      </c>
    </row>
    <row r="314" spans="1:17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12"/>
        <v>1</v>
      </c>
      <c r="P314">
        <f t="shared" si="13"/>
        <v>0</v>
      </c>
      <c r="Q314">
        <f t="shared" si="14"/>
        <v>0</v>
      </c>
    </row>
    <row r="315" spans="1:17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O315">
        <f t="shared" si="12"/>
        <v>1</v>
      </c>
      <c r="P315">
        <f t="shared" si="13"/>
        <v>0</v>
      </c>
      <c r="Q315">
        <f t="shared" si="14"/>
        <v>0</v>
      </c>
    </row>
    <row r="316" spans="1:17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12"/>
        <v>1</v>
      </c>
      <c r="P316">
        <f t="shared" si="13"/>
        <v>0</v>
      </c>
      <c r="Q316">
        <f t="shared" si="14"/>
        <v>0</v>
      </c>
    </row>
    <row r="317" spans="1:17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12"/>
        <v>1</v>
      </c>
      <c r="P317">
        <f t="shared" si="13"/>
        <v>0</v>
      </c>
      <c r="Q317">
        <f t="shared" si="14"/>
        <v>0</v>
      </c>
    </row>
    <row r="318" spans="1:17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12"/>
        <v>0</v>
      </c>
      <c r="P319">
        <f t="shared" si="13"/>
        <v>0</v>
      </c>
      <c r="Q319">
        <f t="shared" si="14"/>
        <v>0</v>
      </c>
    </row>
    <row r="320" spans="1:17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12"/>
        <v>0</v>
      </c>
      <c r="P320">
        <f t="shared" si="13"/>
        <v>0</v>
      </c>
      <c r="Q320">
        <f t="shared" si="14"/>
        <v>0</v>
      </c>
    </row>
    <row r="321" spans="1:17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12"/>
        <v>0</v>
      </c>
      <c r="P321">
        <f t="shared" si="13"/>
        <v>0</v>
      </c>
      <c r="Q321">
        <f t="shared" si="1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31E1-77AE-4FA1-8A06-E71AA6CB44BC}">
  <dimension ref="A1:I18"/>
  <sheetViews>
    <sheetView zoomScale="85" zoomScaleNormal="85" workbookViewId="0">
      <selection activeCell="D8" sqref="D8"/>
    </sheetView>
  </sheetViews>
  <sheetFormatPr defaultRowHeight="14.5"/>
  <cols>
    <col min="1" max="1" width="16.453125" bestFit="1" customWidth="1"/>
    <col min="2" max="2" width="11.81640625" bestFit="1" customWidth="1"/>
    <col min="3" max="3" width="13" bestFit="1" customWidth="1"/>
    <col min="5" max="5" width="11.81640625" bestFit="1" customWidth="1"/>
    <col min="6" max="6" width="12.7265625" bestFit="1" customWidth="1"/>
  </cols>
  <sheetData>
    <row r="1" spans="1:9">
      <c r="A1" t="s">
        <v>102</v>
      </c>
    </row>
    <row r="2" spans="1:9" ht="15" thickBot="1"/>
    <row r="3" spans="1:9">
      <c r="A3" s="8" t="s">
        <v>103</v>
      </c>
      <c r="B3" s="8"/>
    </row>
    <row r="4" spans="1:9">
      <c r="A4" s="5" t="s">
        <v>104</v>
      </c>
      <c r="B4" s="5">
        <v>0.40895561021322352</v>
      </c>
    </row>
    <row r="5" spans="1:9">
      <c r="A5" s="5" t="s">
        <v>105</v>
      </c>
      <c r="B5" s="5">
        <v>0.16724469112487</v>
      </c>
    </row>
    <row r="6" spans="1:9">
      <c r="A6" s="5" t="s">
        <v>106</v>
      </c>
      <c r="B6" s="5">
        <v>0.16462596373847024</v>
      </c>
    </row>
    <row r="7" spans="1:9">
      <c r="A7" s="5" t="s">
        <v>107</v>
      </c>
      <c r="B7" s="5">
        <v>94846.03383215853</v>
      </c>
    </row>
    <row r="8" spans="1:9" ht="15" thickBot="1">
      <c r="A8" s="6" t="s">
        <v>108</v>
      </c>
      <c r="B8" s="6">
        <v>320</v>
      </c>
    </row>
    <row r="10" spans="1:9" ht="15" thickBot="1">
      <c r="A10" t="s">
        <v>109</v>
      </c>
    </row>
    <row r="11" spans="1:9">
      <c r="A11" s="7"/>
      <c r="B11" s="7" t="s">
        <v>114</v>
      </c>
      <c r="C11" s="7" t="s">
        <v>115</v>
      </c>
      <c r="D11" s="7" t="s">
        <v>116</v>
      </c>
      <c r="E11" s="7" t="s">
        <v>117</v>
      </c>
      <c r="F11" s="7" t="s">
        <v>118</v>
      </c>
    </row>
    <row r="12" spans="1:9">
      <c r="A12" s="5" t="s">
        <v>110</v>
      </c>
      <c r="B12" s="5">
        <v>1</v>
      </c>
      <c r="C12" s="5">
        <v>574513714277.01416</v>
      </c>
      <c r="D12" s="5">
        <v>574513714277.01416</v>
      </c>
      <c r="E12" s="5">
        <v>63.864872683367629</v>
      </c>
      <c r="F12" s="5">
        <v>2.4800615101359619E-14</v>
      </c>
    </row>
    <row r="13" spans="1:9">
      <c r="A13" s="5" t="s">
        <v>111</v>
      </c>
      <c r="B13" s="5">
        <v>318</v>
      </c>
      <c r="C13" s="5">
        <v>2860654902513.7251</v>
      </c>
      <c r="D13" s="5">
        <v>8995770133.6909599</v>
      </c>
      <c r="E13" s="5"/>
      <c r="F13" s="5"/>
    </row>
    <row r="14" spans="1:9" ht="15" thickBot="1">
      <c r="A14" s="6" t="s">
        <v>112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119</v>
      </c>
      <c r="C16" s="7" t="s">
        <v>107</v>
      </c>
      <c r="D16" s="7" t="s">
        <v>120</v>
      </c>
      <c r="E16" s="7" t="s">
        <v>121</v>
      </c>
      <c r="F16" s="7" t="s">
        <v>122</v>
      </c>
      <c r="G16" s="7" t="s">
        <v>123</v>
      </c>
      <c r="H16" s="7" t="s">
        <v>124</v>
      </c>
      <c r="I16" s="7" t="s">
        <v>125</v>
      </c>
    </row>
    <row r="17" spans="1:9">
      <c r="A17" s="5" t="s">
        <v>113</v>
      </c>
      <c r="B17" s="5">
        <v>560777.34544943704</v>
      </c>
      <c r="C17" s="5">
        <v>15906.905953068674</v>
      </c>
      <c r="D17" s="5">
        <v>35.253703460870398</v>
      </c>
      <c r="E17" s="5">
        <v>6.952876876284135E-112</v>
      </c>
      <c r="F17" s="5">
        <v>529481.27234763221</v>
      </c>
      <c r="G17" s="5">
        <v>592073.41855124186</v>
      </c>
      <c r="H17" s="5">
        <v>529481.27234763221</v>
      </c>
      <c r="I17" s="5">
        <v>592073.41855124186</v>
      </c>
    </row>
    <row r="18" spans="1:9" ht="15" thickBot="1">
      <c r="A18" s="6" t="s">
        <v>126</v>
      </c>
      <c r="B18" s="6">
        <v>2.1295753275898281</v>
      </c>
      <c r="C18" s="6">
        <v>0.26647838106932348</v>
      </c>
      <c r="D18" s="6">
        <v>7.991550080138869</v>
      </c>
      <c r="E18" s="6">
        <v>2.4800615101360068E-14</v>
      </c>
      <c r="F18" s="6">
        <v>1.6052919176921738</v>
      </c>
      <c r="G18" s="6">
        <v>2.6538587374874822</v>
      </c>
      <c r="H18" s="6">
        <v>1.6052919176921738</v>
      </c>
      <c r="I18" s="6">
        <v>2.6538587374874822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71AB-39DA-4B66-8FBB-4505B8644F4D}">
  <dimension ref="A1:E3"/>
  <sheetViews>
    <sheetView zoomScale="58" workbookViewId="0">
      <selection activeCell="F3" sqref="F3"/>
    </sheetView>
  </sheetViews>
  <sheetFormatPr defaultRowHeight="14.5"/>
  <cols>
    <col min="2" max="2" width="22.81640625" customWidth="1"/>
    <col min="4" max="4" width="24.54296875" customWidth="1"/>
    <col min="5" max="5" width="23.90625" customWidth="1"/>
  </cols>
  <sheetData>
    <row r="1" spans="1:5" ht="43.5">
      <c r="A1" s="3" t="s">
        <v>137</v>
      </c>
      <c r="B1" s="3" t="s">
        <v>138</v>
      </c>
      <c r="C1" s="3" t="s">
        <v>139</v>
      </c>
      <c r="D1" s="3" t="s">
        <v>140</v>
      </c>
      <c r="E1" s="3" t="s">
        <v>141</v>
      </c>
    </row>
    <row r="2" spans="1:5" ht="43.5">
      <c r="A2" s="4" t="s">
        <v>142</v>
      </c>
      <c r="B2" s="4" t="s">
        <v>143</v>
      </c>
      <c r="C2" s="4">
        <v>0.16700000000000001</v>
      </c>
      <c r="D2" s="4" t="s">
        <v>143</v>
      </c>
      <c r="E2" s="4" t="s">
        <v>144</v>
      </c>
    </row>
    <row r="3" spans="1:5" ht="174">
      <c r="A3" s="4" t="s">
        <v>145</v>
      </c>
      <c r="B3" s="4" t="s">
        <v>146</v>
      </c>
      <c r="C3" s="4">
        <v>0.81299999999999994</v>
      </c>
      <c r="D3" s="4" t="s">
        <v>147</v>
      </c>
      <c r="E3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Multiple regression model</vt:lpstr>
      <vt:lpstr>Residual preview</vt:lpstr>
      <vt:lpstr>Dummy Variable</vt:lpstr>
      <vt:lpstr>Simple_regression</vt:lpstr>
      <vt:lpstr>Model comparison 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Vishakha</dc:creator>
  <cp:lastModifiedBy>Gupta, Vishakha</cp:lastModifiedBy>
  <dcterms:created xsi:type="dcterms:W3CDTF">2026-07-01T09:00:09Z</dcterms:created>
  <dcterms:modified xsi:type="dcterms:W3CDTF">2026-07-01T11:03:45Z</dcterms:modified>
</cp:coreProperties>
</file>